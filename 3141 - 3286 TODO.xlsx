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" sheetId="1" r:id="rId5"/>
    <sheet state="visible" name="liste des taches" sheetId="2" r:id="rId6"/>
    <sheet state="visible" name="recap" sheetId="3" r:id="rId7"/>
    <sheet state="visible" name="avancement" sheetId="4" r:id="rId8"/>
    <sheet state="visible" name="detail_avancement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tc={f77a3c95-506e-44fe-bcd4-c5d7b043a369}</author>
  </authors>
  <commentList>
    <comment authorId="0" xr:uid="{f77a3c95-506e-44fe-bcd4-c5d7b043a369}" ref="E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Manasaraka type d'article
- Amelioration UI
</t>
      </text>
    </comment>
  </commentList>
</comments>
</file>

<file path=xl/sharedStrings.xml><?xml version="1.0" encoding="utf-8"?>
<sst xmlns="http://schemas.openxmlformats.org/spreadsheetml/2006/main" count="169" uniqueCount="67">
  <si>
    <t>ETU003141</t>
  </si>
  <si>
    <t>Steeve</t>
  </si>
  <si>
    <t>ETU003286</t>
  </si>
  <si>
    <t>Yvan</t>
  </si>
  <si>
    <t>Ligne</t>
  </si>
  <si>
    <t>Catégorie</t>
  </si>
  <si>
    <t>Module</t>
  </si>
  <si>
    <t>Page</t>
  </si>
  <si>
    <t>Taches</t>
  </si>
  <si>
    <t>Type</t>
  </si>
  <si>
    <t>Qui</t>
  </si>
  <si>
    <t>Estimation</t>
  </si>
  <si>
    <t>Temps passé</t>
  </si>
  <si>
    <t>Reste à faire</t>
  </si>
  <si>
    <t>Avancement</t>
  </si>
  <si>
    <t>Setup TODO (conception)</t>
  </si>
  <si>
    <t>Setup environnement (php)</t>
  </si>
  <si>
    <t>Backoffice</t>
  </si>
  <si>
    <t>Formulaire (date + titre + tinydocs textarea)</t>
  </si>
  <si>
    <t>Affichage</t>
  </si>
  <si>
    <t>Scenario 1: Creation arcticles: (cree BO et Read FO)</t>
  </si>
  <si>
    <t>Formulaire CSS</t>
  </si>
  <si>
    <t>Fake test upload image</t>
  </si>
  <si>
    <t>Metier</t>
  </si>
  <si>
    <t>Frontoffice</t>
  </si>
  <si>
    <t>Liste des articles (html + css)</t>
  </si>
  <si>
    <t>Liste des articles</t>
  </si>
  <si>
    <t>Creation article (sans upload photo)</t>
  </si>
  <si>
    <t>Upload photo</t>
  </si>
  <si>
    <t>Integration</t>
  </si>
  <si>
    <t>Confirmation de creation d'article dans FO</t>
  </si>
  <si>
    <t>Details articles</t>
  </si>
  <si>
    <t>Scenario-2: Mijery details articles (FO)</t>
  </si>
  <si>
    <t>Extraction ID a partir de l'url de l'article</t>
  </si>
  <si>
    <t>static Article getArticleById()</t>
  </si>
  <si>
    <t>Ajout input date + navbar</t>
  </si>
  <si>
    <t>Scenario-3: Filtrage des articles par dates, default: now()</t>
  </si>
  <si>
    <t>Filtre des articles</t>
  </si>
  <si>
    <t>auth</t>
  </si>
  <si>
    <t>/login</t>
  </si>
  <si>
    <t>Form login</t>
  </si>
  <si>
    <t>Scenario-4: Login</t>
  </si>
  <si>
    <t>Metier login (librairie)</t>
  </si>
  <si>
    <t>Seeder</t>
  </si>
  <si>
    <t>Refactor project structure</t>
  </si>
  <si>
    <t>Refactor code</t>
  </si>
  <si>
    <t>Photo de couverture</t>
  </si>
  <si>
    <t>Front</t>
  </si>
  <si>
    <t>Sauvegarder photos articles</t>
  </si>
  <si>
    <t>Auth session</t>
  </si>
  <si>
    <t>CRUD article (UD historisees)</t>
  </si>
  <si>
    <t>SEO (meta - images - title @ header)</t>
  </si>
  <si>
    <t>Rewriting (ex: login)</t>
  </si>
  <si>
    <t>Optimisation (cache + gzip + minification + photos)</t>
  </si>
  <si>
    <t>Test lighthouse</t>
  </si>
  <si>
    <t>UI/UX general</t>
  </si>
  <si>
    <t>UI/UX frontoffice</t>
  </si>
  <si>
    <t>UI/UX backoffice</t>
  </si>
  <si>
    <t>Documentation technique (quoi + pourquoi)</t>
  </si>
  <si>
    <t>Add articles'author (user loged)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</si>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</sst>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sz val="11.0"/>
      <color theme="1"/>
      <name val="Liberation Serif"/>
    </font>
    <font>
      <sz val="8.0"/>
      <color theme="1"/>
      <name val="Arial"/>
    </font>
    <font>
      <b/>
      <color theme="1"/>
      <name val="Arial"/>
    </font>
    <font>
      <b/>
      <sz val="11.0"/>
      <color rgb="FF79C0FF"/>
      <name val="Consolas"/>
    </font>
    <font/>
    <font>
      <sz val="8.0"/>
      <color theme="1"/>
      <name val="Liberation Serif"/>
    </font>
    <font>
      <color theme="1"/>
      <name val="Arial"/>
      <scheme val="minor"/>
    </font>
    <font>
      <i/>
      <color theme="1"/>
      <name val="Arial"/>
    </font>
    <font>
      <color rgb="FFFFFFFF"/>
      <name val="Arial"/>
    </font>
    <font>
      <b/>
      <sz val="12.0"/>
      <color theme="1"/>
      <name val="Aptos Narrow"/>
    </font>
    <font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121314"/>
        <bgColor rgb="FF121314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3" fontId="1" numFmtId="0" xfId="0" applyAlignment="1" applyBorder="1" applyFill="1" applyFont="1">
      <alignment readingOrder="0" vertical="bottom"/>
    </xf>
    <xf borderId="1" fillId="0" fontId="5" numFmtId="10" xfId="0" applyAlignment="1" applyBorder="1" applyFont="1" applyNumberFormat="1">
      <alignment horizontal="right" vertical="bottom"/>
    </xf>
    <xf borderId="1" fillId="4" fontId="1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 vertical="bottom"/>
    </xf>
    <xf borderId="2" fillId="5" fontId="6" numFmtId="0" xfId="0" applyAlignment="1" applyBorder="1" applyFill="1" applyFont="1">
      <alignment horizontal="left" readingOrder="0" vertical="top"/>
    </xf>
    <xf borderId="3" fillId="0" fontId="7" numFmtId="0" xfId="0" applyBorder="1" applyFont="1"/>
    <xf borderId="1" fillId="0" fontId="8" numFmtId="0" xfId="0" applyAlignment="1" applyBorder="1" applyFont="1">
      <alignment vertical="bottom"/>
    </xf>
    <xf borderId="4" fillId="0" fontId="7" numFmtId="0" xfId="0" applyBorder="1" applyFont="1"/>
    <xf borderId="0" fillId="5" fontId="6" numFmtId="0" xfId="0" applyAlignment="1" applyFont="1">
      <alignment readingOrder="0" vertical="top"/>
    </xf>
    <xf borderId="0" fillId="0" fontId="9" numFmtId="0" xfId="0" applyAlignment="1" applyFont="1">
      <alignment readingOrder="0"/>
    </xf>
    <xf borderId="1" fillId="0" fontId="9" numFmtId="0" xfId="0" applyBorder="1" applyFont="1"/>
    <xf borderId="1" fillId="0" fontId="9" numFmtId="0" xfId="0" applyAlignment="1" applyBorder="1" applyFont="1">
      <alignment readingOrder="0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5" numFmtId="10" xfId="0" applyAlignment="1" applyFont="1" applyNumberFormat="1">
      <alignment horizontal="right" vertical="bottom"/>
    </xf>
    <xf borderId="5" fillId="6" fontId="10" numFmtId="0" xfId="0" applyAlignment="1" applyBorder="1" applyFill="1" applyFont="1">
      <alignment vertical="bottom"/>
    </xf>
    <xf borderId="5" fillId="7" fontId="11" numFmtId="0" xfId="0" applyAlignment="1" applyBorder="1" applyFill="1" applyFont="1">
      <alignment vertical="bottom"/>
    </xf>
    <xf borderId="6" fillId="8" fontId="1" numFmtId="0" xfId="0" applyAlignment="1" applyBorder="1" applyFill="1" applyFont="1">
      <alignment vertical="bottom"/>
    </xf>
    <xf borderId="0" fillId="9" fontId="1" numFmtId="0" xfId="0" applyAlignment="1" applyFill="1" applyFont="1">
      <alignment horizontal="right" vertical="bottom"/>
    </xf>
    <xf borderId="7" fillId="6" fontId="5" numFmtId="0" xfId="0" applyAlignment="1" applyBorder="1" applyFont="1">
      <alignment vertical="bottom"/>
    </xf>
    <xf borderId="7" fillId="6" fontId="5" numFmtId="0" xfId="0" applyAlignment="1" applyBorder="1" applyFont="1">
      <alignment horizontal="right" vertical="bottom"/>
    </xf>
    <xf borderId="0" fillId="10" fontId="5" numFmtId="0" xfId="0" applyAlignment="1" applyFill="1" applyFont="1">
      <alignment vertical="bottom"/>
    </xf>
    <xf borderId="0" fillId="10" fontId="5" numFmtId="10" xfId="0" applyAlignment="1" applyFont="1" applyNumberFormat="1">
      <alignment horizontal="right" vertical="bottom"/>
    </xf>
    <xf borderId="8" fillId="11" fontId="12" numFmtId="0" xfId="0" applyAlignment="1" applyBorder="1" applyFill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0" fillId="0" fontId="13" numFmtId="9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11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165" xfId="0" applyAlignment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9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9" numFmtId="0" xfId="0" applyFont="1"/>
  </cellXfs>
  <cellStyles count="1">
    <cellStyle xfId="0" name="Normal" builtinId="0"/>
  </cellStyles>
  <dxfs count="2"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van Noah" id="{a36359b1-5cb5-42bc-bf6b-377f22a01b6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2" dT="2026-03-30T17:41:59.00" personId="{a36359b1-5cb5-42bc-bf6b-377f22a01b66}" id="{f77a3c95-506e-44fe-bcd4-c5d7b043a369}" done="0">
    <x18tc:text xml:space="preserve">- Manasaraka type d'article
- Amelioration UI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  <col customWidth="1" min="5" max="5" width="38.38"/>
    <col customWidth="1" min="12" max="12" width="53.38"/>
  </cols>
  <sheetData>
    <row r="1">
      <c r="A1" s="2" t="s">
        <v>4</v>
      </c>
      <c r="B1" s="3" t="s">
        <v>5</v>
      </c>
      <c r="C1" s="3" t="s">
        <v>6</v>
      </c>
      <c r="D1" s="3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</row>
    <row r="2">
      <c r="A2" s="5">
        <v>1.0</v>
      </c>
      <c r="B2" s="6"/>
      <c r="C2" s="7"/>
      <c r="D2" s="6"/>
      <c r="E2" s="8" t="s">
        <v>15</v>
      </c>
      <c r="F2" s="7"/>
      <c r="G2" s="9" t="s">
        <v>0</v>
      </c>
      <c r="H2" s="5">
        <v>120.0</v>
      </c>
      <c r="I2" s="5">
        <f>detail_avancement!B2</f>
        <v>90</v>
      </c>
      <c r="J2" s="5">
        <v>0.0</v>
      </c>
      <c r="K2" s="10">
        <f t="shared" ref="K2:K48" si="1">IF(I2/(I2+J2) &lt; 100, I2/(I2+J2), 100)</f>
        <v>1</v>
      </c>
    </row>
    <row r="3">
      <c r="A3" s="5">
        <v>2.0</v>
      </c>
      <c r="B3" s="6"/>
      <c r="C3" s="7"/>
      <c r="D3" s="6"/>
      <c r="E3" s="8" t="s">
        <v>15</v>
      </c>
      <c r="F3" s="7"/>
      <c r="G3" s="11" t="s">
        <v>2</v>
      </c>
      <c r="H3" s="5">
        <v>120.0</v>
      </c>
      <c r="I3" s="5">
        <f>detail_avancement!B3</f>
        <v>90</v>
      </c>
      <c r="J3" s="5">
        <v>0.0</v>
      </c>
      <c r="K3" s="10">
        <f t="shared" si="1"/>
        <v>1</v>
      </c>
    </row>
    <row r="4">
      <c r="A4" s="5">
        <v>3.0</v>
      </c>
      <c r="B4" s="6"/>
      <c r="C4" s="7"/>
      <c r="D4" s="6"/>
      <c r="E4" s="8" t="s">
        <v>16</v>
      </c>
      <c r="F4" s="7"/>
      <c r="G4" s="11" t="s">
        <v>2</v>
      </c>
      <c r="H4" s="12">
        <v>10.0</v>
      </c>
      <c r="I4" s="5">
        <f>detail_avancement!B4</f>
        <v>5</v>
      </c>
      <c r="J4" s="12">
        <v>0.0</v>
      </c>
      <c r="K4" s="10">
        <f t="shared" si="1"/>
        <v>1</v>
      </c>
    </row>
    <row r="5">
      <c r="A5" s="5">
        <v>4.0</v>
      </c>
      <c r="B5" s="13" t="s">
        <v>17</v>
      </c>
      <c r="C5" s="7"/>
      <c r="D5" s="6"/>
      <c r="E5" s="8" t="s">
        <v>18</v>
      </c>
      <c r="F5" s="8" t="s">
        <v>19</v>
      </c>
      <c r="G5" s="11" t="s">
        <v>2</v>
      </c>
      <c r="H5" s="12">
        <v>50.0</v>
      </c>
      <c r="I5" s="5">
        <f>detail_avancement!B5</f>
        <v>55</v>
      </c>
      <c r="J5" s="12">
        <v>0.0</v>
      </c>
      <c r="K5" s="10">
        <f t="shared" si="1"/>
        <v>1</v>
      </c>
      <c r="L5" s="14" t="s">
        <v>20</v>
      </c>
    </row>
    <row r="6">
      <c r="A6" s="5">
        <v>5.0</v>
      </c>
      <c r="B6" s="13" t="s">
        <v>17</v>
      </c>
      <c r="C6" s="7"/>
      <c r="D6" s="6"/>
      <c r="E6" s="8" t="s">
        <v>21</v>
      </c>
      <c r="F6" s="13" t="s">
        <v>19</v>
      </c>
      <c r="G6" s="11" t="s">
        <v>2</v>
      </c>
      <c r="H6" s="12">
        <v>25.0</v>
      </c>
      <c r="I6" s="5">
        <f>detail_avancement!B6</f>
        <v>25</v>
      </c>
      <c r="J6" s="12">
        <v>0.0</v>
      </c>
      <c r="K6" s="10">
        <f t="shared" si="1"/>
        <v>1</v>
      </c>
      <c r="L6" s="15"/>
    </row>
    <row r="7">
      <c r="A7" s="5">
        <v>6.0</v>
      </c>
      <c r="B7" s="13" t="s">
        <v>17</v>
      </c>
      <c r="C7" s="7"/>
      <c r="D7" s="6"/>
      <c r="E7" s="8" t="s">
        <v>22</v>
      </c>
      <c r="F7" s="13" t="s">
        <v>23</v>
      </c>
      <c r="G7" s="11" t="s">
        <v>2</v>
      </c>
      <c r="H7" s="12">
        <v>10.0</v>
      </c>
      <c r="I7" s="5">
        <f>detail_avancement!B7</f>
        <v>2</v>
      </c>
      <c r="J7" s="12">
        <v>0.0</v>
      </c>
      <c r="K7" s="10">
        <f t="shared" si="1"/>
        <v>1</v>
      </c>
      <c r="L7" s="15"/>
    </row>
    <row r="8">
      <c r="A8" s="5">
        <v>7.0</v>
      </c>
      <c r="B8" s="13" t="s">
        <v>24</v>
      </c>
      <c r="C8" s="7"/>
      <c r="D8" s="6"/>
      <c r="E8" s="8" t="s">
        <v>25</v>
      </c>
      <c r="F8" s="13" t="s">
        <v>19</v>
      </c>
      <c r="G8" s="11" t="s">
        <v>2</v>
      </c>
      <c r="H8" s="12">
        <v>15.0</v>
      </c>
      <c r="I8" s="5">
        <f>detail_avancement!B8</f>
        <v>34</v>
      </c>
      <c r="J8" s="12">
        <v>0.0</v>
      </c>
      <c r="K8" s="10">
        <f t="shared" si="1"/>
        <v>1</v>
      </c>
      <c r="L8" s="15"/>
    </row>
    <row r="9">
      <c r="A9" s="5">
        <v>8.0</v>
      </c>
      <c r="B9" s="13" t="s">
        <v>24</v>
      </c>
      <c r="C9" s="7"/>
      <c r="D9" s="6"/>
      <c r="E9" s="8" t="s">
        <v>26</v>
      </c>
      <c r="F9" s="13" t="s">
        <v>23</v>
      </c>
      <c r="G9" s="9" t="s">
        <v>0</v>
      </c>
      <c r="H9" s="12">
        <v>10.0</v>
      </c>
      <c r="I9" s="5">
        <f>detail_avancement!B9</f>
        <v>5</v>
      </c>
      <c r="J9" s="12">
        <v>0.0</v>
      </c>
      <c r="K9" s="10">
        <f t="shared" si="1"/>
        <v>1</v>
      </c>
      <c r="L9" s="15"/>
    </row>
    <row r="10">
      <c r="A10" s="5">
        <v>9.0</v>
      </c>
      <c r="B10" s="13" t="s">
        <v>17</v>
      </c>
      <c r="C10" s="7"/>
      <c r="D10" s="6"/>
      <c r="E10" s="8" t="s">
        <v>27</v>
      </c>
      <c r="F10" s="13" t="s">
        <v>23</v>
      </c>
      <c r="G10" s="9" t="s">
        <v>0</v>
      </c>
      <c r="H10" s="12">
        <v>10.0</v>
      </c>
      <c r="I10" s="5">
        <f>detail_avancement!B10</f>
        <v>25</v>
      </c>
      <c r="J10" s="12">
        <v>0.0</v>
      </c>
      <c r="K10" s="10">
        <f t="shared" si="1"/>
        <v>1</v>
      </c>
      <c r="L10" s="15"/>
    </row>
    <row r="11">
      <c r="A11" s="5">
        <v>10.0</v>
      </c>
      <c r="B11" s="13" t="s">
        <v>17</v>
      </c>
      <c r="C11" s="7"/>
      <c r="D11" s="7"/>
      <c r="E11" s="8" t="s">
        <v>28</v>
      </c>
      <c r="F11" s="16" t="s">
        <v>23</v>
      </c>
      <c r="G11" s="9" t="s">
        <v>0</v>
      </c>
      <c r="H11" s="12">
        <v>10.0</v>
      </c>
      <c r="I11" s="5">
        <f>detail_avancement!B11</f>
        <v>25</v>
      </c>
      <c r="J11" s="12">
        <v>0.0</v>
      </c>
      <c r="K11" s="10">
        <f t="shared" si="1"/>
        <v>1</v>
      </c>
      <c r="L11" s="15"/>
    </row>
    <row r="12">
      <c r="A12" s="5">
        <v>11.0</v>
      </c>
      <c r="B12" s="13" t="s">
        <v>17</v>
      </c>
      <c r="C12" s="7"/>
      <c r="D12" s="7"/>
      <c r="E12" s="8" t="s">
        <v>28</v>
      </c>
      <c r="F12" s="8" t="s">
        <v>29</v>
      </c>
      <c r="G12" s="11" t="s">
        <v>2</v>
      </c>
      <c r="H12" s="12">
        <v>10.0</v>
      </c>
      <c r="I12" s="5">
        <f>detail_avancement!B12</f>
        <v>120</v>
      </c>
      <c r="J12" s="12">
        <v>0.0</v>
      </c>
      <c r="K12" s="10">
        <f t="shared" si="1"/>
        <v>1</v>
      </c>
      <c r="L12" s="15"/>
    </row>
    <row r="13">
      <c r="A13" s="5">
        <v>12.0</v>
      </c>
      <c r="B13" s="13" t="s">
        <v>17</v>
      </c>
      <c r="C13" s="7"/>
      <c r="D13" s="7"/>
      <c r="E13" s="8" t="s">
        <v>28</v>
      </c>
      <c r="F13" s="8" t="s">
        <v>29</v>
      </c>
      <c r="G13" s="9" t="s">
        <v>0</v>
      </c>
      <c r="H13" s="12">
        <v>10.0</v>
      </c>
      <c r="I13" s="5">
        <f>detail_avancement!B13</f>
        <v>120</v>
      </c>
      <c r="J13" s="12">
        <v>0.0</v>
      </c>
      <c r="K13" s="10">
        <f t="shared" si="1"/>
        <v>1</v>
      </c>
      <c r="L13" s="15"/>
    </row>
    <row r="14">
      <c r="A14" s="5">
        <v>13.0</v>
      </c>
      <c r="B14" s="13" t="s">
        <v>24</v>
      </c>
      <c r="C14" s="7"/>
      <c r="D14" s="7"/>
      <c r="E14" s="8" t="s">
        <v>30</v>
      </c>
      <c r="F14" s="8" t="s">
        <v>29</v>
      </c>
      <c r="G14" s="11" t="s">
        <v>2</v>
      </c>
      <c r="H14" s="12">
        <v>20.0</v>
      </c>
      <c r="I14" s="5">
        <f>detail_avancement!B14</f>
        <v>25</v>
      </c>
      <c r="J14" s="12">
        <v>0.0</v>
      </c>
      <c r="K14" s="10">
        <f t="shared" si="1"/>
        <v>1</v>
      </c>
      <c r="L14" s="15"/>
    </row>
    <row r="15">
      <c r="A15" s="5">
        <v>14.0</v>
      </c>
      <c r="B15" s="13" t="s">
        <v>24</v>
      </c>
      <c r="C15" s="7"/>
      <c r="D15" s="7"/>
      <c r="E15" s="8" t="s">
        <v>30</v>
      </c>
      <c r="F15" s="8" t="s">
        <v>29</v>
      </c>
      <c r="G15" s="9" t="s">
        <v>0</v>
      </c>
      <c r="H15" s="12">
        <v>20.0</v>
      </c>
      <c r="I15" s="5">
        <f>detail_avancement!B15</f>
        <v>25</v>
      </c>
      <c r="J15" s="12">
        <v>0.0</v>
      </c>
      <c r="K15" s="10">
        <f t="shared" si="1"/>
        <v>1</v>
      </c>
      <c r="L15" s="17"/>
    </row>
    <row r="16">
      <c r="A16" s="5">
        <v>15.0</v>
      </c>
      <c r="B16" s="13" t="s">
        <v>24</v>
      </c>
      <c r="C16" s="7"/>
      <c r="D16" s="7"/>
      <c r="E16" s="8" t="s">
        <v>31</v>
      </c>
      <c r="F16" s="8" t="s">
        <v>19</v>
      </c>
      <c r="G16" s="9" t="s">
        <v>0</v>
      </c>
      <c r="H16" s="12">
        <v>10.0</v>
      </c>
      <c r="I16" s="5">
        <f>detail_avancement!B16</f>
        <v>60</v>
      </c>
      <c r="J16" s="12">
        <v>0.0</v>
      </c>
      <c r="K16" s="10">
        <f t="shared" si="1"/>
        <v>1</v>
      </c>
      <c r="L16" s="18" t="s">
        <v>32</v>
      </c>
    </row>
    <row r="17">
      <c r="A17" s="5">
        <v>16.0</v>
      </c>
      <c r="B17" s="13" t="s">
        <v>24</v>
      </c>
      <c r="C17" s="7"/>
      <c r="D17" s="7"/>
      <c r="E17" s="8" t="s">
        <v>33</v>
      </c>
      <c r="F17" s="8" t="s">
        <v>23</v>
      </c>
      <c r="G17" s="11" t="s">
        <v>2</v>
      </c>
      <c r="H17" s="12">
        <v>10.0</v>
      </c>
      <c r="I17" s="5">
        <f>detail_avancement!B17</f>
        <v>15</v>
      </c>
      <c r="J17" s="12">
        <v>0.0</v>
      </c>
      <c r="K17" s="10">
        <f t="shared" si="1"/>
        <v>1</v>
      </c>
    </row>
    <row r="18">
      <c r="A18" s="5">
        <v>17.0</v>
      </c>
      <c r="B18" s="13" t="s">
        <v>24</v>
      </c>
      <c r="C18" s="7"/>
      <c r="D18" s="7"/>
      <c r="E18" s="8" t="s">
        <v>34</v>
      </c>
      <c r="F18" s="8" t="s">
        <v>23</v>
      </c>
      <c r="G18" s="11" t="s">
        <v>2</v>
      </c>
      <c r="H18" s="12">
        <v>5.0</v>
      </c>
      <c r="I18" s="5">
        <f>detail_avancement!B18</f>
        <v>25</v>
      </c>
      <c r="J18" s="12">
        <v>0.0</v>
      </c>
      <c r="K18" s="10">
        <f t="shared" si="1"/>
        <v>1</v>
      </c>
    </row>
    <row r="19">
      <c r="A19" s="5">
        <v>18.0</v>
      </c>
      <c r="B19" s="13" t="s">
        <v>24</v>
      </c>
      <c r="C19" s="7"/>
      <c r="D19" s="7"/>
      <c r="E19" s="8" t="s">
        <v>31</v>
      </c>
      <c r="F19" s="8" t="s">
        <v>29</v>
      </c>
      <c r="G19" s="9" t="s">
        <v>0</v>
      </c>
      <c r="H19" s="12">
        <v>10.0</v>
      </c>
      <c r="I19" s="5">
        <f>detail_avancement!B18</f>
        <v>25</v>
      </c>
      <c r="J19" s="12">
        <v>0.0</v>
      </c>
      <c r="K19" s="10">
        <f t="shared" si="1"/>
        <v>1</v>
      </c>
    </row>
    <row r="20">
      <c r="A20" s="5">
        <v>19.0</v>
      </c>
      <c r="B20" s="13" t="s">
        <v>24</v>
      </c>
      <c r="C20" s="7"/>
      <c r="D20" s="7"/>
      <c r="E20" s="8" t="s">
        <v>31</v>
      </c>
      <c r="F20" s="8" t="s">
        <v>29</v>
      </c>
      <c r="G20" s="11" t="s">
        <v>2</v>
      </c>
      <c r="H20" s="12">
        <v>10.0</v>
      </c>
      <c r="I20" s="5">
        <f>detail_avancement!B19</f>
        <v>25</v>
      </c>
      <c r="J20" s="12">
        <v>0.0</v>
      </c>
      <c r="K20" s="10">
        <f t="shared" si="1"/>
        <v>1</v>
      </c>
    </row>
    <row r="21">
      <c r="A21" s="5">
        <v>20.0</v>
      </c>
      <c r="B21" s="6"/>
      <c r="C21" s="7"/>
      <c r="D21" s="7"/>
      <c r="E21" s="19" t="s">
        <v>35</v>
      </c>
      <c r="F21" s="8" t="s">
        <v>19</v>
      </c>
      <c r="G21" s="11" t="s">
        <v>2</v>
      </c>
      <c r="H21" s="12">
        <v>2.0</v>
      </c>
      <c r="I21" s="5">
        <f>detail_avancement!B20</f>
        <v>15</v>
      </c>
      <c r="J21" s="12">
        <v>0.0</v>
      </c>
      <c r="K21" s="10">
        <f t="shared" si="1"/>
        <v>1</v>
      </c>
      <c r="L21" s="18" t="s">
        <v>36</v>
      </c>
    </row>
    <row r="22">
      <c r="A22" s="5">
        <v>21.0</v>
      </c>
      <c r="B22" s="6"/>
      <c r="C22" s="7"/>
      <c r="D22" s="7"/>
      <c r="E22" s="8" t="s">
        <v>37</v>
      </c>
      <c r="F22" s="8" t="s">
        <v>23</v>
      </c>
      <c r="G22" s="9" t="s">
        <v>0</v>
      </c>
      <c r="H22" s="12">
        <v>10.0</v>
      </c>
      <c r="I22" s="5">
        <f>detail_avancement!B21</f>
        <v>10</v>
      </c>
      <c r="J22" s="12">
        <v>0.0</v>
      </c>
      <c r="K22" s="10">
        <f t="shared" si="1"/>
        <v>1</v>
      </c>
    </row>
    <row r="23">
      <c r="A23" s="5">
        <v>22.0</v>
      </c>
      <c r="B23" s="6"/>
      <c r="C23" s="7"/>
      <c r="D23" s="7"/>
      <c r="E23" s="19" t="s">
        <v>37</v>
      </c>
      <c r="F23" s="8" t="s">
        <v>29</v>
      </c>
      <c r="G23" s="9" t="s">
        <v>0</v>
      </c>
      <c r="H23" s="12">
        <v>10.0</v>
      </c>
      <c r="I23" s="5">
        <f>detail_avancement!B22</f>
        <v>10</v>
      </c>
      <c r="J23" s="12">
        <v>0.0</v>
      </c>
      <c r="K23" s="10">
        <f t="shared" si="1"/>
        <v>1</v>
      </c>
    </row>
    <row r="24">
      <c r="A24" s="5">
        <v>23.0</v>
      </c>
      <c r="B24" s="6"/>
      <c r="C24" s="7"/>
      <c r="D24" s="7"/>
      <c r="E24" s="19" t="s">
        <v>37</v>
      </c>
      <c r="F24" s="8" t="s">
        <v>29</v>
      </c>
      <c r="G24" s="11" t="s">
        <v>2</v>
      </c>
      <c r="H24" s="12">
        <v>10.0</v>
      </c>
      <c r="I24" s="5">
        <f>detail_avancement!B23</f>
        <v>10</v>
      </c>
      <c r="J24" s="12">
        <v>0.0</v>
      </c>
      <c r="K24" s="10">
        <f t="shared" si="1"/>
        <v>1</v>
      </c>
    </row>
    <row r="25">
      <c r="A25" s="5">
        <v>24.0</v>
      </c>
      <c r="B25" s="13" t="s">
        <v>17</v>
      </c>
      <c r="C25" s="8" t="s">
        <v>38</v>
      </c>
      <c r="D25" s="8" t="s">
        <v>39</v>
      </c>
      <c r="E25" s="8" t="s">
        <v>40</v>
      </c>
      <c r="F25" s="13" t="s">
        <v>19</v>
      </c>
      <c r="G25" s="11" t="s">
        <v>2</v>
      </c>
      <c r="H25" s="12">
        <v>10.0</v>
      </c>
      <c r="I25" s="5">
        <f>detail_avancement!B24</f>
        <v>8</v>
      </c>
      <c r="J25" s="12">
        <v>0.0</v>
      </c>
      <c r="K25" s="10">
        <f t="shared" si="1"/>
        <v>1</v>
      </c>
      <c r="L25" s="18" t="s">
        <v>41</v>
      </c>
    </row>
    <row r="26">
      <c r="A26" s="5">
        <v>25.0</v>
      </c>
      <c r="B26" s="6"/>
      <c r="C26" s="8" t="s">
        <v>38</v>
      </c>
      <c r="D26" s="8" t="s">
        <v>39</v>
      </c>
      <c r="E26" s="8" t="s">
        <v>42</v>
      </c>
      <c r="F26" s="13" t="s">
        <v>23</v>
      </c>
      <c r="G26" s="11" t="s">
        <v>2</v>
      </c>
      <c r="H26" s="12">
        <v>10.0</v>
      </c>
      <c r="I26" s="5">
        <f>detail_avancement!B25</f>
        <v>40</v>
      </c>
      <c r="J26" s="12">
        <v>0.0</v>
      </c>
      <c r="K26" s="10">
        <f t="shared" si="1"/>
        <v>1</v>
      </c>
    </row>
    <row r="27">
      <c r="A27" s="5">
        <v>26.0</v>
      </c>
      <c r="B27" s="6"/>
      <c r="C27" s="8" t="s">
        <v>38</v>
      </c>
      <c r="D27" s="8" t="s">
        <v>39</v>
      </c>
      <c r="E27" s="8" t="s">
        <v>43</v>
      </c>
      <c r="F27" s="13" t="s">
        <v>23</v>
      </c>
      <c r="G27" s="11" t="s">
        <v>2</v>
      </c>
      <c r="H27" s="12">
        <v>10.0</v>
      </c>
      <c r="I27" s="5">
        <f>detail_avancement!B26</f>
        <v>20</v>
      </c>
      <c r="J27" s="12">
        <v>0.0</v>
      </c>
      <c r="K27" s="10">
        <f t="shared" si="1"/>
        <v>1</v>
      </c>
    </row>
    <row r="28">
      <c r="A28" s="5">
        <v>27.0</v>
      </c>
      <c r="B28" s="6"/>
      <c r="C28" s="7"/>
      <c r="D28" s="7"/>
      <c r="E28" s="7"/>
      <c r="F28" s="7"/>
      <c r="G28" s="20"/>
      <c r="H28" s="12">
        <v>0.0</v>
      </c>
      <c r="I28" s="5">
        <f>detail_avancement!B27</f>
        <v>0</v>
      </c>
      <c r="J28" s="12">
        <f t="shared" ref="J28:J29" si="2">H28</f>
        <v>0</v>
      </c>
      <c r="K28" s="10" t="str">
        <f t="shared" si="1"/>
        <v>#DIV/0!</v>
      </c>
    </row>
    <row r="29">
      <c r="A29" s="5">
        <v>28.0</v>
      </c>
      <c r="B29" s="6"/>
      <c r="C29" s="7"/>
      <c r="D29" s="7"/>
      <c r="E29" s="7"/>
      <c r="F29" s="7"/>
      <c r="G29" s="20"/>
      <c r="H29" s="12">
        <v>0.0</v>
      </c>
      <c r="I29" s="5">
        <f>detail_avancement!B28</f>
        <v>0</v>
      </c>
      <c r="J29" s="12">
        <f t="shared" si="2"/>
        <v>0</v>
      </c>
      <c r="K29" s="10" t="str">
        <f t="shared" si="1"/>
        <v>#DIV/0!</v>
      </c>
    </row>
    <row r="30">
      <c r="A30" s="5">
        <v>29.0</v>
      </c>
      <c r="B30" s="6"/>
      <c r="C30" s="7"/>
      <c r="D30" s="7"/>
      <c r="E30" s="8" t="s">
        <v>44</v>
      </c>
      <c r="F30" s="7"/>
      <c r="G30" s="21" t="s">
        <v>2</v>
      </c>
      <c r="H30" s="12">
        <v>10.0</v>
      </c>
      <c r="I30" s="5">
        <f>detail_avancement!B29</f>
        <v>25</v>
      </c>
      <c r="J30" s="12">
        <v>0.0</v>
      </c>
      <c r="K30" s="10">
        <f t="shared" si="1"/>
        <v>1</v>
      </c>
    </row>
    <row r="31">
      <c r="A31" s="5">
        <v>30.0</v>
      </c>
      <c r="B31" s="6"/>
      <c r="C31" s="7"/>
      <c r="D31" s="7"/>
      <c r="E31" s="8" t="s">
        <v>45</v>
      </c>
      <c r="F31" s="7"/>
      <c r="G31" s="9" t="s">
        <v>0</v>
      </c>
      <c r="H31" s="12">
        <v>20.0</v>
      </c>
      <c r="I31" s="5">
        <f>detail_avancement!B30</f>
        <v>25</v>
      </c>
      <c r="J31" s="12">
        <v>0.0</v>
      </c>
      <c r="K31" s="10">
        <f t="shared" si="1"/>
        <v>1</v>
      </c>
    </row>
    <row r="32">
      <c r="A32" s="5">
        <v>31.0</v>
      </c>
      <c r="B32" s="6"/>
      <c r="C32" s="7"/>
      <c r="D32" s="7"/>
      <c r="E32" s="8" t="s">
        <v>46</v>
      </c>
      <c r="F32" s="8" t="s">
        <v>47</v>
      </c>
      <c r="G32" s="21" t="s">
        <v>2</v>
      </c>
      <c r="H32" s="12">
        <v>10.0</v>
      </c>
      <c r="I32" s="5">
        <f>detail_avancement!B31</f>
        <v>5</v>
      </c>
      <c r="J32" s="12">
        <v>0.0</v>
      </c>
      <c r="K32" s="10">
        <f t="shared" si="1"/>
        <v>1</v>
      </c>
    </row>
    <row r="33">
      <c r="A33" s="5">
        <v>32.0</v>
      </c>
      <c r="B33" s="6"/>
      <c r="C33" s="7"/>
      <c r="D33" s="7"/>
      <c r="E33" s="8" t="s">
        <v>46</v>
      </c>
      <c r="F33" s="8" t="s">
        <v>23</v>
      </c>
      <c r="G33" s="21" t="s">
        <v>2</v>
      </c>
      <c r="H33" s="12">
        <v>10.0</v>
      </c>
      <c r="I33" s="5">
        <f>detail_avancement!B32</f>
        <v>25</v>
      </c>
      <c r="J33" s="12">
        <v>0.0</v>
      </c>
      <c r="K33" s="10">
        <f t="shared" si="1"/>
        <v>1</v>
      </c>
    </row>
    <row r="34">
      <c r="A34" s="5">
        <v>33.0</v>
      </c>
      <c r="B34" s="6"/>
      <c r="C34" s="6"/>
      <c r="D34" s="6"/>
      <c r="E34" s="8" t="s">
        <v>48</v>
      </c>
      <c r="F34" s="13" t="s">
        <v>29</v>
      </c>
      <c r="G34" s="9" t="s">
        <v>0</v>
      </c>
      <c r="H34" s="12">
        <v>10.0</v>
      </c>
      <c r="I34" s="5">
        <f>detail_avancement!B33</f>
        <v>25</v>
      </c>
      <c r="J34" s="12">
        <v>0.0</v>
      </c>
      <c r="K34" s="10">
        <f t="shared" si="1"/>
        <v>1</v>
      </c>
    </row>
    <row r="35">
      <c r="A35" s="5">
        <v>34.0</v>
      </c>
      <c r="B35" s="6"/>
      <c r="C35" s="8" t="s">
        <v>38</v>
      </c>
      <c r="D35" s="8" t="s">
        <v>39</v>
      </c>
      <c r="E35" s="8" t="s">
        <v>49</v>
      </c>
      <c r="F35" s="13" t="s">
        <v>23</v>
      </c>
      <c r="G35" s="21" t="s">
        <v>2</v>
      </c>
      <c r="H35" s="12">
        <v>10.0</v>
      </c>
      <c r="I35" s="5">
        <f>detail_avancement!B34</f>
        <v>8</v>
      </c>
      <c r="J35" s="12">
        <v>0.0</v>
      </c>
      <c r="K35" s="10">
        <f t="shared" si="1"/>
        <v>1</v>
      </c>
    </row>
    <row r="36">
      <c r="A36" s="5">
        <v>35.0</v>
      </c>
      <c r="B36" s="6"/>
      <c r="C36" s="6"/>
      <c r="D36" s="6"/>
      <c r="E36" s="8" t="s">
        <v>50</v>
      </c>
      <c r="F36" s="6"/>
      <c r="G36" s="21" t="s">
        <v>2</v>
      </c>
      <c r="H36" s="12">
        <v>30.0</v>
      </c>
      <c r="I36" s="5">
        <f>detail_avancement!B35</f>
        <v>35</v>
      </c>
      <c r="J36" s="12">
        <v>0.0</v>
      </c>
      <c r="K36" s="10">
        <f t="shared" si="1"/>
        <v>1</v>
      </c>
    </row>
    <row r="37">
      <c r="A37" s="5">
        <v>36.0</v>
      </c>
      <c r="B37" s="6"/>
      <c r="C37" s="6"/>
      <c r="D37" s="6"/>
      <c r="E37" s="8" t="s">
        <v>51</v>
      </c>
      <c r="F37" s="6"/>
      <c r="G37" s="9" t="s">
        <v>0</v>
      </c>
      <c r="H37" s="12">
        <v>10.0</v>
      </c>
      <c r="I37" s="5">
        <f>detail_avancement!B36</f>
        <v>10</v>
      </c>
      <c r="J37" s="12">
        <v>0.0</v>
      </c>
      <c r="K37" s="10">
        <f t="shared" si="1"/>
        <v>1</v>
      </c>
    </row>
    <row r="38">
      <c r="A38" s="5">
        <v>37.0</v>
      </c>
      <c r="B38" s="6"/>
      <c r="C38" s="7"/>
      <c r="D38" s="6"/>
      <c r="E38" s="8" t="s">
        <v>52</v>
      </c>
      <c r="F38" s="7"/>
      <c r="G38" s="21" t="s">
        <v>2</v>
      </c>
      <c r="H38" s="12">
        <v>25.0</v>
      </c>
      <c r="I38" s="5">
        <f>detail_avancement!B37</f>
        <v>13</v>
      </c>
      <c r="J38" s="12">
        <v>0.0</v>
      </c>
      <c r="K38" s="10">
        <f t="shared" si="1"/>
        <v>1</v>
      </c>
    </row>
    <row r="39">
      <c r="A39" s="5">
        <v>38.0</v>
      </c>
      <c r="B39" s="6"/>
      <c r="C39" s="7"/>
      <c r="D39" s="6"/>
      <c r="E39" s="21" t="s">
        <v>53</v>
      </c>
      <c r="F39" s="7"/>
      <c r="G39" s="9" t="s">
        <v>0</v>
      </c>
      <c r="H39" s="12">
        <v>10.0</v>
      </c>
      <c r="I39" s="5">
        <f>detail_avancement!B38</f>
        <v>0</v>
      </c>
      <c r="J39" s="12">
        <f t="shared" ref="J39:J41" si="3">H39</f>
        <v>10</v>
      </c>
      <c r="K39" s="10">
        <f t="shared" si="1"/>
        <v>0</v>
      </c>
    </row>
    <row r="40">
      <c r="A40" s="5">
        <v>39.0</v>
      </c>
      <c r="B40" s="6"/>
      <c r="C40" s="7"/>
      <c r="D40" s="6"/>
      <c r="E40" s="21" t="s">
        <v>54</v>
      </c>
      <c r="F40" s="7"/>
      <c r="G40" s="21" t="s">
        <v>2</v>
      </c>
      <c r="H40" s="12">
        <v>10.0</v>
      </c>
      <c r="I40" s="5">
        <f>detail_avancement!B39</f>
        <v>0</v>
      </c>
      <c r="J40" s="12">
        <f t="shared" si="3"/>
        <v>10</v>
      </c>
      <c r="K40" s="10">
        <f t="shared" si="1"/>
        <v>0</v>
      </c>
    </row>
    <row r="41">
      <c r="A41" s="5">
        <v>40.0</v>
      </c>
      <c r="B41" s="6"/>
      <c r="C41" s="7"/>
      <c r="D41" s="6"/>
      <c r="E41" s="21" t="s">
        <v>54</v>
      </c>
      <c r="F41" s="7"/>
      <c r="G41" s="9" t="s">
        <v>0</v>
      </c>
      <c r="H41" s="12">
        <v>10.0</v>
      </c>
      <c r="I41" s="5">
        <f>detail_avancement!B40</f>
        <v>0</v>
      </c>
      <c r="J41" s="12">
        <f t="shared" si="3"/>
        <v>10</v>
      </c>
      <c r="K41" s="10">
        <f t="shared" si="1"/>
        <v>0</v>
      </c>
    </row>
    <row r="42">
      <c r="A42" s="5">
        <v>41.0</v>
      </c>
      <c r="B42" s="6"/>
      <c r="C42" s="7"/>
      <c r="D42" s="6"/>
      <c r="E42" s="21" t="s">
        <v>55</v>
      </c>
      <c r="F42" s="20"/>
      <c r="G42" s="21" t="s">
        <v>2</v>
      </c>
      <c r="H42" s="12">
        <v>50.0</v>
      </c>
      <c r="I42" s="5">
        <f>detail_avancement!B41</f>
        <v>35</v>
      </c>
      <c r="J42" s="12">
        <v>0.0</v>
      </c>
      <c r="K42" s="10">
        <f t="shared" si="1"/>
        <v>1</v>
      </c>
    </row>
    <row r="43">
      <c r="A43" s="5">
        <v>42.0</v>
      </c>
      <c r="B43" s="6"/>
      <c r="C43" s="7"/>
      <c r="D43" s="6"/>
      <c r="E43" s="21" t="s">
        <v>56</v>
      </c>
      <c r="F43" s="20"/>
      <c r="G43" s="21" t="s">
        <v>2</v>
      </c>
      <c r="H43" s="12">
        <v>50.0</v>
      </c>
      <c r="I43" s="5">
        <f>detail_avancement!B42</f>
        <v>45</v>
      </c>
      <c r="J43" s="12">
        <v>0.0</v>
      </c>
      <c r="K43" s="10">
        <f t="shared" si="1"/>
        <v>1</v>
      </c>
    </row>
    <row r="44">
      <c r="A44" s="5">
        <v>43.0</v>
      </c>
      <c r="B44" s="6"/>
      <c r="C44" s="7"/>
      <c r="D44" s="6"/>
      <c r="E44" s="21" t="s">
        <v>57</v>
      </c>
      <c r="F44" s="7"/>
      <c r="G44" s="21" t="s">
        <v>2</v>
      </c>
      <c r="H44" s="12">
        <v>30.0</v>
      </c>
      <c r="I44" s="5">
        <f>detail_avancement!B43</f>
        <v>25</v>
      </c>
      <c r="J44" s="12">
        <v>0.0</v>
      </c>
      <c r="K44" s="10">
        <f t="shared" si="1"/>
        <v>1</v>
      </c>
    </row>
    <row r="45">
      <c r="A45" s="5">
        <v>44.0</v>
      </c>
      <c r="B45" s="6"/>
      <c r="C45" s="7"/>
      <c r="D45" s="6"/>
      <c r="E45" s="8" t="s">
        <v>58</v>
      </c>
      <c r="F45" s="7"/>
      <c r="G45" s="21" t="s">
        <v>2</v>
      </c>
      <c r="H45" s="12">
        <v>30.0</v>
      </c>
      <c r="I45" s="5">
        <f>detail_avancement!B43</f>
        <v>25</v>
      </c>
      <c r="J45" s="12">
        <v>0.0</v>
      </c>
      <c r="K45" s="10">
        <f t="shared" si="1"/>
        <v>1</v>
      </c>
    </row>
    <row r="46">
      <c r="A46" s="5">
        <v>45.0</v>
      </c>
      <c r="B46" s="6"/>
      <c r="C46" s="7"/>
      <c r="D46" s="6"/>
      <c r="E46" s="8" t="s">
        <v>58</v>
      </c>
      <c r="F46" s="7"/>
      <c r="G46" s="9" t="s">
        <v>0</v>
      </c>
      <c r="H46" s="12">
        <v>30.0</v>
      </c>
      <c r="I46" s="5">
        <f>I45</f>
        <v>25</v>
      </c>
      <c r="J46" s="12">
        <v>0.0</v>
      </c>
      <c r="K46" s="10">
        <f t="shared" si="1"/>
        <v>1</v>
      </c>
    </row>
    <row r="47">
      <c r="A47" s="5">
        <v>46.0</v>
      </c>
      <c r="B47" s="6"/>
      <c r="C47" s="7"/>
      <c r="D47" s="6"/>
      <c r="E47" s="8" t="s">
        <v>43</v>
      </c>
      <c r="F47" s="7"/>
      <c r="G47" s="21" t="s">
        <v>2</v>
      </c>
      <c r="H47" s="12">
        <v>20.0</v>
      </c>
      <c r="I47" s="5">
        <f>detail_avancement!B45</f>
        <v>18</v>
      </c>
      <c r="J47" s="12">
        <v>0.0</v>
      </c>
      <c r="K47" s="10">
        <f t="shared" si="1"/>
        <v>1</v>
      </c>
    </row>
    <row r="48">
      <c r="A48" s="5">
        <v>47.0</v>
      </c>
      <c r="B48" s="6"/>
      <c r="C48" s="7"/>
      <c r="D48" s="6"/>
      <c r="E48" s="8" t="s">
        <v>59</v>
      </c>
      <c r="F48" s="7"/>
      <c r="G48" s="9" t="s">
        <v>0</v>
      </c>
      <c r="H48" s="12">
        <v>20.0</v>
      </c>
      <c r="I48" s="5">
        <f>detail_avancement!B46</f>
        <v>0</v>
      </c>
      <c r="J48" s="12">
        <v>0.0</v>
      </c>
      <c r="K48" s="10" t="str">
        <f t="shared" si="1"/>
        <v>#DIV/0!</v>
      </c>
    </row>
    <row r="49">
      <c r="A49" s="22"/>
      <c r="B49" s="1"/>
      <c r="C49" s="23"/>
      <c r="D49" s="1"/>
      <c r="E49" s="24"/>
      <c r="F49" s="23"/>
      <c r="H49" s="25"/>
      <c r="I49" s="22"/>
      <c r="J49" s="25"/>
      <c r="K49" s="26"/>
    </row>
    <row r="50">
      <c r="A50" s="22"/>
      <c r="B50" s="1"/>
      <c r="C50" s="1"/>
      <c r="D50" s="1"/>
      <c r="E50" s="1"/>
      <c r="F50" s="1"/>
      <c r="H50" s="1"/>
      <c r="I50" s="1"/>
      <c r="J50" s="1"/>
      <c r="K50" s="1"/>
    </row>
  </sheetData>
  <mergeCells count="4">
    <mergeCell ref="L5:L15"/>
    <mergeCell ref="L16:L20"/>
    <mergeCell ref="L21:L24"/>
    <mergeCell ref="L25:L28"/>
  </mergeCells>
  <conditionalFormatting sqref="G1:G744">
    <cfRule type="cellIs" dxfId="0" priority="1" operator="equal">
      <formula>"ETUU003141"</formula>
    </cfRule>
  </conditionalFormatting>
  <conditionalFormatting sqref="G1:G744">
    <cfRule type="cellIs" dxfId="1" priority="2" operator="equal">
      <formula>"ETU003286"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/>
      <c r="B1" s="28"/>
      <c r="C1" s="28"/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9"/>
      <c r="B2" s="30"/>
      <c r="C2" s="30"/>
      <c r="D2" s="3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9"/>
      <c r="B3" s="30"/>
      <c r="C3" s="30"/>
      <c r="D3" s="3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9"/>
      <c r="B4" s="30"/>
      <c r="C4" s="30"/>
      <c r="D4" s="3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9"/>
      <c r="B5" s="30"/>
      <c r="C5" s="30"/>
      <c r="D5" s="30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9"/>
      <c r="B6" s="30"/>
      <c r="C6" s="30"/>
      <c r="D6" s="3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1"/>
      <c r="B7" s="32"/>
      <c r="C7" s="32"/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3"/>
      <c r="B12" s="3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7.88"/>
    <col customWidth="1" min="3" max="3" width="17.0"/>
    <col customWidth="1" min="4" max="4" width="12.5"/>
  </cols>
  <sheetData>
    <row r="1">
      <c r="A1" s="35" t="s">
        <v>60</v>
      </c>
      <c r="B1" s="35" t="s">
        <v>61</v>
      </c>
      <c r="C1" s="35" t="s">
        <v>62</v>
      </c>
      <c r="D1" s="35" t="s">
        <v>63</v>
      </c>
      <c r="E1" s="35" t="s">
        <v>64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6">
        <f>SUM('liste des taches'!H:H)</f>
        <v>942</v>
      </c>
      <c r="B2" s="36">
        <f>SUM('liste des taches'!I:I)</f>
        <v>1253</v>
      </c>
      <c r="C2" s="36">
        <f>SUM('liste des taches'!J:J)</f>
        <v>30</v>
      </c>
      <c r="D2" s="37">
        <f>(B2/(B2+C2))</f>
        <v>0.9766173032</v>
      </c>
      <c r="E2" s="38">
        <f>((B2+C2)-A2)/A2</f>
        <v>0.3619957537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36">
        <f>C2/60</f>
        <v>0.5</v>
      </c>
      <c r="D3" s="39" t="s">
        <v>65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4</v>
      </c>
      <c r="B1" s="41" t="s">
        <v>66</v>
      </c>
      <c r="C1" s="42">
        <v>46108.0</v>
      </c>
      <c r="D1" s="43">
        <v>46109.0</v>
      </c>
      <c r="E1" s="42">
        <v>46110.0</v>
      </c>
      <c r="F1" s="43">
        <v>46111.0</v>
      </c>
      <c r="G1" s="42">
        <v>46112.0</v>
      </c>
      <c r="H1" s="43">
        <v>46113.0</v>
      </c>
      <c r="I1" s="42">
        <v>46114.0</v>
      </c>
      <c r="J1" s="43">
        <v>46115.0</v>
      </c>
      <c r="K1" s="42">
        <v>46116.0</v>
      </c>
      <c r="L1" s="43">
        <v>46117.0</v>
      </c>
      <c r="M1" s="4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5">
        <v>1.0</v>
      </c>
      <c r="B2" s="36">
        <f t="shared" ref="B2:B39" si="1">SUM(C2:O2)</f>
        <v>90</v>
      </c>
      <c r="C2" s="22"/>
      <c r="D2" s="1">
        <f t="shared" ref="D2:D3" si="2">30+30+30</f>
        <v>90</v>
      </c>
      <c r="E2" s="1"/>
      <c r="F2" s="1"/>
      <c r="G2" s="1"/>
      <c r="H2" s="1"/>
      <c r="I2" s="1"/>
      <c r="J2" s="1"/>
      <c r="K2" s="1"/>
      <c r="L2" s="4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5">
        <v>2.0</v>
      </c>
      <c r="B3" s="36">
        <f t="shared" si="1"/>
        <v>90</v>
      </c>
      <c r="C3" s="22"/>
      <c r="D3" s="1">
        <f t="shared" si="2"/>
        <v>90</v>
      </c>
      <c r="E3" s="1"/>
      <c r="F3" s="1"/>
      <c r="G3" s="1"/>
      <c r="H3" s="1"/>
      <c r="I3" s="1"/>
      <c r="J3" s="1"/>
      <c r="K3" s="1"/>
      <c r="L3" s="4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45">
        <v>3.0</v>
      </c>
      <c r="B4" s="36">
        <f t="shared" si="1"/>
        <v>5</v>
      </c>
      <c r="C4" s="25">
        <v>5.0</v>
      </c>
      <c r="D4" s="1"/>
      <c r="E4" s="1"/>
      <c r="F4" s="1"/>
      <c r="G4" s="1"/>
      <c r="H4" s="1"/>
      <c r="I4" s="1"/>
      <c r="J4" s="1"/>
      <c r="K4" s="1"/>
      <c r="L4" s="4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45">
        <v>4.0</v>
      </c>
      <c r="B5" s="36">
        <f t="shared" si="1"/>
        <v>55</v>
      </c>
      <c r="D5" s="1"/>
      <c r="E5" s="1">
        <f>30+25</f>
        <v>55</v>
      </c>
      <c r="F5" s="1"/>
      <c r="G5" s="1"/>
      <c r="H5" s="1"/>
      <c r="I5" s="1"/>
      <c r="J5" s="1"/>
      <c r="K5" s="1"/>
      <c r="L5" s="4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45">
        <v>5.0</v>
      </c>
      <c r="B6" s="36">
        <f t="shared" si="1"/>
        <v>25</v>
      </c>
      <c r="C6" s="22"/>
      <c r="D6" s="1"/>
      <c r="E6" s="47">
        <v>25.0</v>
      </c>
      <c r="F6" s="1"/>
      <c r="G6" s="1"/>
      <c r="H6" s="1"/>
      <c r="I6" s="1"/>
      <c r="J6" s="1"/>
      <c r="K6" s="1"/>
      <c r="L6" s="4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45">
        <v>6.0</v>
      </c>
      <c r="B7" s="36">
        <f t="shared" si="1"/>
        <v>2</v>
      </c>
      <c r="C7" s="22"/>
      <c r="D7" s="1"/>
      <c r="E7" s="47">
        <v>2.0</v>
      </c>
      <c r="F7" s="1"/>
      <c r="G7" s="1"/>
      <c r="H7" s="1"/>
      <c r="I7" s="1"/>
      <c r="J7" s="1"/>
      <c r="K7" s="1"/>
      <c r="L7" s="4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45">
        <v>7.0</v>
      </c>
      <c r="B8" s="36">
        <f t="shared" si="1"/>
        <v>34</v>
      </c>
      <c r="C8" s="22"/>
      <c r="D8" s="1"/>
      <c r="E8" s="19">
        <f>9+25</f>
        <v>34</v>
      </c>
      <c r="F8" s="1"/>
      <c r="G8" s="1"/>
      <c r="H8" s="1"/>
      <c r="I8" s="1"/>
      <c r="J8" s="1"/>
      <c r="K8" s="1"/>
      <c r="L8" s="4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45">
        <v>8.0</v>
      </c>
      <c r="B9" s="36">
        <f t="shared" si="1"/>
        <v>5</v>
      </c>
      <c r="C9" s="22"/>
      <c r="D9" s="1"/>
      <c r="E9" s="47">
        <v>5.0</v>
      </c>
      <c r="F9" s="1"/>
      <c r="G9" s="1"/>
      <c r="H9" s="1"/>
      <c r="I9" s="1"/>
      <c r="J9" s="1"/>
      <c r="K9" s="1"/>
      <c r="L9" s="4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45">
        <v>9.0</v>
      </c>
      <c r="B10" s="36">
        <f t="shared" si="1"/>
        <v>25</v>
      </c>
      <c r="C10" s="22"/>
      <c r="D10" s="1"/>
      <c r="E10" s="47">
        <v>25.0</v>
      </c>
      <c r="F10" s="1"/>
      <c r="G10" s="1"/>
      <c r="H10" s="1"/>
      <c r="I10" s="1"/>
      <c r="J10" s="1"/>
      <c r="K10" s="1"/>
      <c r="L10" s="4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45">
        <v>10.0</v>
      </c>
      <c r="B11" s="36">
        <f t="shared" si="1"/>
        <v>25</v>
      </c>
      <c r="C11" s="22"/>
      <c r="D11" s="1"/>
      <c r="E11" s="47">
        <v>25.0</v>
      </c>
      <c r="G11" s="1"/>
      <c r="H11" s="1"/>
      <c r="I11" s="1"/>
      <c r="J11" s="1"/>
      <c r="K11" s="1"/>
      <c r="L11" s="4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45">
        <v>11.0</v>
      </c>
      <c r="B12" s="36">
        <f t="shared" si="1"/>
        <v>120</v>
      </c>
      <c r="C12" s="22"/>
      <c r="D12" s="1"/>
      <c r="E12" s="1"/>
      <c r="F12" s="1">
        <f t="shared" ref="F12:F13" si="3">60*2</f>
        <v>120</v>
      </c>
      <c r="G12" s="1"/>
      <c r="H12" s="1"/>
      <c r="I12" s="1"/>
      <c r="J12" s="1"/>
      <c r="K12" s="1"/>
      <c r="L12" s="4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45">
        <v>12.0</v>
      </c>
      <c r="B13" s="36">
        <f t="shared" si="1"/>
        <v>120</v>
      </c>
      <c r="C13" s="22"/>
      <c r="D13" s="1"/>
      <c r="E13" s="1"/>
      <c r="F13" s="1">
        <f t="shared" si="3"/>
        <v>120</v>
      </c>
      <c r="G13" s="1"/>
      <c r="H13" s="1"/>
      <c r="I13" s="1"/>
      <c r="J13" s="1"/>
      <c r="K13" s="1"/>
      <c r="L13" s="4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45">
        <v>13.0</v>
      </c>
      <c r="B14" s="36">
        <f t="shared" si="1"/>
        <v>25</v>
      </c>
      <c r="C14" s="22"/>
      <c r="D14" s="1"/>
      <c r="E14" s="1"/>
      <c r="F14" s="48">
        <f t="shared" ref="F14:F15" si="4">25</f>
        <v>25</v>
      </c>
      <c r="G14" s="1"/>
      <c r="H14" s="1"/>
      <c r="I14" s="1"/>
      <c r="J14" s="1"/>
      <c r="K14" s="1"/>
      <c r="L14" s="4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45">
        <v>14.0</v>
      </c>
      <c r="B15" s="36">
        <f t="shared" si="1"/>
        <v>25</v>
      </c>
      <c r="C15" s="22"/>
      <c r="D15" s="1"/>
      <c r="E15" s="1"/>
      <c r="F15" s="48">
        <f t="shared" si="4"/>
        <v>25</v>
      </c>
      <c r="G15" s="1"/>
      <c r="H15" s="1"/>
      <c r="I15" s="1"/>
      <c r="J15" s="1"/>
      <c r="K15" s="1"/>
      <c r="L15" s="4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45">
        <v>15.0</v>
      </c>
      <c r="B16" s="36">
        <f t="shared" si="1"/>
        <v>60</v>
      </c>
      <c r="C16" s="1"/>
      <c r="D16" s="1"/>
      <c r="E16" s="1"/>
      <c r="F16" s="1">
        <f>60</f>
        <v>60</v>
      </c>
      <c r="G16" s="1"/>
      <c r="H16" s="1"/>
      <c r="I16" s="1"/>
      <c r="J16" s="1"/>
      <c r="K16" s="1"/>
      <c r="L16" s="4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45">
        <v>16.0</v>
      </c>
      <c r="B17" s="36">
        <f t="shared" si="1"/>
        <v>15</v>
      </c>
      <c r="C17" s="1"/>
      <c r="D17" s="1"/>
      <c r="E17" s="1"/>
      <c r="F17" s="47">
        <v>15.0</v>
      </c>
      <c r="G17" s="1"/>
      <c r="H17" s="1"/>
      <c r="I17" s="1"/>
      <c r="J17" s="1"/>
      <c r="K17" s="1"/>
      <c r="L17" s="4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45">
        <v>17.0</v>
      </c>
      <c r="B18" s="36">
        <f t="shared" si="1"/>
        <v>25</v>
      </c>
      <c r="C18" s="1"/>
      <c r="D18" s="1"/>
      <c r="E18" s="1"/>
      <c r="F18" s="47">
        <v>25.0</v>
      </c>
      <c r="G18" s="1"/>
      <c r="H18" s="1"/>
      <c r="I18" s="1"/>
      <c r="J18" s="1"/>
      <c r="K18" s="1"/>
      <c r="L18" s="4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45">
        <v>18.0</v>
      </c>
      <c r="B19" s="36">
        <f t="shared" si="1"/>
        <v>25</v>
      </c>
      <c r="C19" s="1"/>
      <c r="D19" s="1"/>
      <c r="E19" s="1"/>
      <c r="F19" s="1">
        <f>F18</f>
        <v>25</v>
      </c>
      <c r="G19" s="1"/>
      <c r="H19" s="1"/>
      <c r="I19" s="1"/>
      <c r="J19" s="1"/>
      <c r="K19" s="1"/>
      <c r="L19" s="4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45">
        <v>19.0</v>
      </c>
      <c r="B20" s="36">
        <f t="shared" si="1"/>
        <v>15</v>
      </c>
      <c r="C20" s="22"/>
      <c r="D20" s="1"/>
      <c r="E20" s="1"/>
      <c r="F20" s="47">
        <v>15.0</v>
      </c>
      <c r="G20" s="1"/>
      <c r="H20" s="1"/>
      <c r="I20" s="1"/>
      <c r="J20" s="1"/>
      <c r="K20" s="1"/>
      <c r="L20" s="4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45">
        <v>20.0</v>
      </c>
      <c r="B21" s="36">
        <f t="shared" si="1"/>
        <v>10</v>
      </c>
      <c r="C21" s="22"/>
      <c r="D21" s="1"/>
      <c r="E21" s="1"/>
      <c r="F21" s="1"/>
      <c r="G21" s="47">
        <v>10.0</v>
      </c>
      <c r="H21" s="1"/>
      <c r="I21" s="1"/>
      <c r="J21" s="1"/>
      <c r="K21" s="1"/>
      <c r="L21" s="4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45">
        <v>21.0</v>
      </c>
      <c r="B22" s="36">
        <f t="shared" si="1"/>
        <v>10</v>
      </c>
      <c r="C22" s="22"/>
      <c r="D22" s="1"/>
      <c r="E22" s="1"/>
      <c r="F22" s="1"/>
      <c r="G22" s="47">
        <v>10.0</v>
      </c>
      <c r="H22" s="1"/>
      <c r="I22" s="1"/>
      <c r="J22" s="1"/>
      <c r="K22" s="1"/>
      <c r="L22" s="4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45">
        <v>22.0</v>
      </c>
      <c r="B23" s="36">
        <f t="shared" si="1"/>
        <v>10</v>
      </c>
      <c r="C23" s="22"/>
      <c r="D23" s="1"/>
      <c r="E23" s="1"/>
      <c r="F23" s="1"/>
      <c r="G23" s="47">
        <v>10.0</v>
      </c>
      <c r="H23" s="1"/>
      <c r="I23" s="1"/>
      <c r="J23" s="1"/>
      <c r="K23" s="1"/>
      <c r="L23" s="4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45">
        <v>23.0</v>
      </c>
      <c r="B24" s="36">
        <f t="shared" si="1"/>
        <v>8</v>
      </c>
      <c r="C24" s="22"/>
      <c r="D24" s="1"/>
      <c r="E24" s="1"/>
      <c r="F24" s="47">
        <v>8.0</v>
      </c>
      <c r="G24" s="1"/>
      <c r="H24" s="1"/>
      <c r="I24" s="1"/>
      <c r="J24" s="1"/>
      <c r="K24" s="1"/>
      <c r="L24" s="4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45">
        <v>24.0</v>
      </c>
      <c r="B25" s="36">
        <f t="shared" si="1"/>
        <v>40</v>
      </c>
      <c r="C25" s="22"/>
      <c r="D25" s="1"/>
      <c r="E25" s="47">
        <v>15.0</v>
      </c>
      <c r="F25" s="47">
        <v>25.0</v>
      </c>
      <c r="G25" s="1"/>
      <c r="H25" s="1"/>
      <c r="I25" s="1"/>
      <c r="J25" s="1"/>
      <c r="K25" s="1"/>
      <c r="L25" s="4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45">
        <v>25.0</v>
      </c>
      <c r="B26" s="36">
        <f t="shared" si="1"/>
        <v>20</v>
      </c>
      <c r="C26" s="22"/>
      <c r="D26" s="22"/>
      <c r="E26" s="1"/>
      <c r="F26" s="47">
        <v>20.0</v>
      </c>
      <c r="G26" s="1"/>
      <c r="H26" s="1"/>
      <c r="I26" s="1"/>
      <c r="J26" s="1"/>
      <c r="K26" s="1"/>
      <c r="L26" s="4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45">
        <v>26.0</v>
      </c>
      <c r="B27" s="36">
        <f t="shared" si="1"/>
        <v>0</v>
      </c>
      <c r="C27" s="22"/>
      <c r="D27" s="1"/>
      <c r="E27" s="1"/>
      <c r="F27" s="1"/>
      <c r="G27" s="1"/>
      <c r="H27" s="1"/>
      <c r="I27" s="1"/>
      <c r="J27" s="1"/>
      <c r="K27" s="1"/>
      <c r="L27" s="4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45">
        <v>27.0</v>
      </c>
      <c r="B28" s="36">
        <f t="shared" si="1"/>
        <v>0</v>
      </c>
      <c r="C28" s="22"/>
      <c r="D28" s="1"/>
      <c r="E28" s="1"/>
      <c r="F28" s="1"/>
      <c r="G28" s="1"/>
      <c r="H28" s="1"/>
      <c r="I28" s="1"/>
      <c r="J28" s="1"/>
      <c r="K28" s="1"/>
      <c r="L28" s="4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45">
        <v>28.0</v>
      </c>
      <c r="B29" s="36">
        <f t="shared" si="1"/>
        <v>25</v>
      </c>
      <c r="C29" s="22"/>
      <c r="D29" s="1"/>
      <c r="E29" s="1"/>
      <c r="F29" s="47">
        <v>25.0</v>
      </c>
      <c r="G29" s="1"/>
      <c r="H29" s="1"/>
      <c r="I29" s="1"/>
      <c r="J29" s="1"/>
      <c r="K29" s="1"/>
      <c r="L29" s="4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45">
        <v>29.0</v>
      </c>
      <c r="B30" s="36">
        <f t="shared" si="1"/>
        <v>25</v>
      </c>
      <c r="C30" s="22"/>
      <c r="D30" s="1"/>
      <c r="E30" s="1"/>
      <c r="F30" s="1">
        <f>25</f>
        <v>25</v>
      </c>
      <c r="G30" s="1"/>
      <c r="H30" s="1"/>
      <c r="I30" s="1"/>
      <c r="J30" s="1"/>
      <c r="K30" s="1"/>
      <c r="L30" s="4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45">
        <v>30.0</v>
      </c>
      <c r="B31" s="36">
        <f t="shared" si="1"/>
        <v>5</v>
      </c>
      <c r="C31" s="22"/>
      <c r="D31" s="1"/>
      <c r="E31" s="1"/>
      <c r="F31" s="47">
        <v>5.0</v>
      </c>
      <c r="G31" s="1"/>
      <c r="H31" s="1"/>
      <c r="I31" s="1"/>
      <c r="J31" s="1"/>
      <c r="K31" s="1"/>
      <c r="L31" s="4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45">
        <v>31.0</v>
      </c>
      <c r="B32" s="36">
        <f t="shared" si="1"/>
        <v>25</v>
      </c>
      <c r="C32" s="22"/>
      <c r="D32" s="1"/>
      <c r="E32" s="1"/>
      <c r="F32" s="47">
        <v>25.0</v>
      </c>
      <c r="G32" s="1"/>
      <c r="H32" s="1"/>
      <c r="I32" s="1"/>
      <c r="J32" s="1"/>
      <c r="K32" s="1"/>
      <c r="L32" s="4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45">
        <v>32.0</v>
      </c>
      <c r="B33" s="36">
        <f t="shared" si="1"/>
        <v>25</v>
      </c>
      <c r="C33" s="22"/>
      <c r="D33" s="1"/>
      <c r="E33" s="1"/>
      <c r="F33" s="47">
        <v>25.0</v>
      </c>
      <c r="G33" s="1"/>
      <c r="H33" s="1"/>
      <c r="I33" s="1"/>
      <c r="J33" s="1"/>
      <c r="K33" s="1"/>
      <c r="L33" s="4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45">
        <v>33.0</v>
      </c>
      <c r="B34" s="36">
        <f t="shared" si="1"/>
        <v>8</v>
      </c>
      <c r="C34" s="22"/>
      <c r="D34" s="1"/>
      <c r="E34" s="1"/>
      <c r="F34" s="1"/>
      <c r="G34" s="47">
        <v>8.0</v>
      </c>
      <c r="H34" s="1"/>
      <c r="I34" s="1"/>
      <c r="J34" s="1"/>
      <c r="K34" s="1"/>
      <c r="L34" s="4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45">
        <v>34.0</v>
      </c>
      <c r="B35" s="36">
        <f t="shared" si="1"/>
        <v>35</v>
      </c>
      <c r="C35" s="22"/>
      <c r="D35" s="1"/>
      <c r="E35" s="1"/>
      <c r="F35" s="1"/>
      <c r="G35" s="1">
        <f>25+10</f>
        <v>35</v>
      </c>
      <c r="H35" s="1"/>
      <c r="I35" s="1"/>
      <c r="J35" s="1"/>
      <c r="K35" s="1"/>
      <c r="L35" s="4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45">
        <v>35.0</v>
      </c>
      <c r="B36" s="36">
        <f t="shared" si="1"/>
        <v>10</v>
      </c>
      <c r="C36" s="22"/>
      <c r="D36" s="1"/>
      <c r="E36" s="1"/>
      <c r="F36" s="1"/>
      <c r="G36" s="47">
        <v>10.0</v>
      </c>
      <c r="H36" s="1"/>
      <c r="I36" s="1"/>
      <c r="J36" s="1"/>
      <c r="K36" s="1"/>
      <c r="L36" s="4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45">
        <v>36.0</v>
      </c>
      <c r="B37" s="36">
        <f t="shared" si="1"/>
        <v>13</v>
      </c>
      <c r="C37" s="22"/>
      <c r="D37" s="1"/>
      <c r="E37" s="1"/>
      <c r="F37" s="1"/>
      <c r="G37" s="47">
        <v>13.0</v>
      </c>
      <c r="H37" s="1"/>
      <c r="I37" s="1"/>
      <c r="J37" s="1"/>
      <c r="K37" s="1"/>
      <c r="L37" s="4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45">
        <v>37.0</v>
      </c>
      <c r="B38" s="36">
        <f t="shared" si="1"/>
        <v>0</v>
      </c>
      <c r="C38" s="22"/>
      <c r="D38" s="22"/>
      <c r="E38" s="1"/>
      <c r="F38" s="1"/>
      <c r="G38" s="1"/>
      <c r="H38" s="1"/>
      <c r="I38" s="1"/>
      <c r="J38" s="1"/>
      <c r="K38" s="1"/>
      <c r="L38" s="4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45">
        <v>38.0</v>
      </c>
      <c r="B39" s="36">
        <f t="shared" si="1"/>
        <v>0</v>
      </c>
      <c r="C39" s="1"/>
      <c r="D39" s="22"/>
      <c r="E39" s="1"/>
      <c r="F39" s="1"/>
      <c r="G39" s="1"/>
      <c r="H39" s="1"/>
      <c r="I39" s="1"/>
      <c r="J39" s="1"/>
      <c r="K39" s="1"/>
      <c r="L39" s="4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45">
        <v>39.0</v>
      </c>
      <c r="B40" s="36">
        <f>SUM(D40:O40)</f>
        <v>0</v>
      </c>
      <c r="C40" s="1"/>
      <c r="D40" s="22"/>
      <c r="E40" s="1"/>
      <c r="F40" s="1"/>
      <c r="H40" s="1"/>
      <c r="I40" s="1"/>
      <c r="J40" s="1"/>
      <c r="K40" s="1"/>
      <c r="L40" s="4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45">
        <v>40.0</v>
      </c>
      <c r="B41" s="36">
        <f t="shared" ref="B41:B101" si="5">SUM(C41:O41)</f>
        <v>35</v>
      </c>
      <c r="C41" s="1"/>
      <c r="D41" s="22"/>
      <c r="E41" s="1"/>
      <c r="F41" s="22"/>
      <c r="G41" s="1">
        <f>10+25</f>
        <v>35</v>
      </c>
      <c r="H41" s="1"/>
      <c r="I41" s="1"/>
      <c r="J41" s="1"/>
      <c r="K41" s="1"/>
      <c r="L41" s="4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45">
        <v>41.0</v>
      </c>
      <c r="B42" s="36">
        <f t="shared" si="5"/>
        <v>45</v>
      </c>
      <c r="C42" s="1"/>
      <c r="D42" s="1"/>
      <c r="E42" s="1"/>
      <c r="F42" s="22"/>
      <c r="G42" s="1">
        <f>25+20</f>
        <v>45</v>
      </c>
      <c r="H42" s="1"/>
      <c r="I42" s="1"/>
      <c r="J42" s="1"/>
      <c r="K42" s="1"/>
      <c r="L42" s="4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45">
        <v>42.0</v>
      </c>
      <c r="B43" s="36">
        <f t="shared" si="5"/>
        <v>25</v>
      </c>
      <c r="C43" s="1"/>
      <c r="D43" s="22"/>
      <c r="E43" s="1"/>
      <c r="F43" s="1"/>
      <c r="G43" s="1">
        <f>10+15</f>
        <v>25</v>
      </c>
      <c r="H43" s="1"/>
      <c r="I43" s="1"/>
      <c r="J43" s="1"/>
      <c r="K43" s="1"/>
      <c r="L43" s="4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45">
        <v>43.0</v>
      </c>
      <c r="B44" s="36">
        <f t="shared" si="5"/>
        <v>0</v>
      </c>
      <c r="C44" s="1"/>
      <c r="D44" s="1"/>
      <c r="E44" s="1"/>
      <c r="F44" s="22"/>
      <c r="G44" s="1"/>
      <c r="H44" s="1"/>
      <c r="I44" s="1"/>
      <c r="J44" s="1"/>
      <c r="K44" s="1"/>
      <c r="L44" s="4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45">
        <v>44.0</v>
      </c>
      <c r="B45" s="36">
        <f t="shared" si="5"/>
        <v>18</v>
      </c>
      <c r="C45" s="22"/>
      <c r="D45" s="1"/>
      <c r="E45" s="1"/>
      <c r="F45" s="1"/>
      <c r="G45" s="1">
        <f>10+8</f>
        <v>18</v>
      </c>
      <c r="H45" s="1"/>
      <c r="I45" s="1"/>
      <c r="J45" s="1"/>
      <c r="K45" s="1"/>
      <c r="L45" s="4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45">
        <v>45.0</v>
      </c>
      <c r="B46" s="36">
        <f t="shared" si="5"/>
        <v>0</v>
      </c>
      <c r="C46" s="1"/>
      <c r="D46" s="1"/>
      <c r="E46" s="1"/>
      <c r="F46" s="22"/>
      <c r="G46" s="1"/>
      <c r="H46" s="1"/>
      <c r="I46" s="1"/>
      <c r="J46" s="1"/>
      <c r="K46" s="1"/>
      <c r="L46" s="4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45">
        <v>46.0</v>
      </c>
      <c r="B47" s="36">
        <f t="shared" si="5"/>
        <v>0</v>
      </c>
      <c r="C47" s="1"/>
      <c r="D47" s="1"/>
      <c r="E47" s="1"/>
      <c r="F47" s="22"/>
      <c r="G47" s="1"/>
      <c r="H47" s="1"/>
      <c r="I47" s="1"/>
      <c r="J47" s="1"/>
      <c r="K47" s="1"/>
      <c r="L47" s="4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45">
        <v>47.0</v>
      </c>
      <c r="B48" s="36">
        <f t="shared" si="5"/>
        <v>0</v>
      </c>
      <c r="C48" s="1"/>
      <c r="D48" s="1"/>
      <c r="E48" s="1"/>
      <c r="F48" s="1"/>
      <c r="G48" s="1"/>
      <c r="H48" s="1"/>
      <c r="I48" s="22"/>
      <c r="J48" s="22"/>
      <c r="K48" s="1"/>
      <c r="L48" s="4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45">
        <v>48.0</v>
      </c>
      <c r="B49" s="36">
        <f t="shared" si="5"/>
        <v>0</v>
      </c>
      <c r="C49" s="1"/>
      <c r="D49" s="1"/>
      <c r="E49" s="1"/>
      <c r="F49" s="1"/>
      <c r="G49" s="1"/>
      <c r="H49" s="1"/>
      <c r="I49" s="1"/>
      <c r="J49" s="1"/>
      <c r="K49" s="1"/>
      <c r="L49" s="4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45">
        <v>49.0</v>
      </c>
      <c r="B50" s="36">
        <f t="shared" si="5"/>
        <v>0</v>
      </c>
      <c r="C50" s="1"/>
      <c r="D50" s="1"/>
      <c r="E50" s="1"/>
      <c r="F50" s="1"/>
      <c r="G50" s="1"/>
      <c r="H50" s="1"/>
      <c r="I50" s="22"/>
      <c r="J50" s="22"/>
      <c r="K50" s="1"/>
      <c r="L50" s="4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45">
        <v>50.0</v>
      </c>
      <c r="B51" s="36">
        <f t="shared" si="5"/>
        <v>0</v>
      </c>
      <c r="C51" s="1"/>
      <c r="D51" s="1"/>
      <c r="E51" s="1"/>
      <c r="F51" s="1"/>
      <c r="G51" s="1"/>
      <c r="H51" s="1"/>
      <c r="I51" s="1"/>
      <c r="J51" s="1"/>
      <c r="K51" s="1"/>
      <c r="L51" s="3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45">
        <v>51.0</v>
      </c>
      <c r="B52" s="36">
        <f t="shared" si="5"/>
        <v>0</v>
      </c>
      <c r="C52" s="1"/>
      <c r="D52" s="1"/>
      <c r="E52" s="1"/>
      <c r="F52" s="1"/>
      <c r="G52" s="1"/>
      <c r="H52" s="1"/>
      <c r="I52" s="1"/>
      <c r="J52" s="1"/>
      <c r="K52" s="1"/>
      <c r="L52" s="30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45">
        <v>52.0</v>
      </c>
      <c r="B53" s="36">
        <f t="shared" si="5"/>
        <v>0</v>
      </c>
      <c r="C53" s="1"/>
      <c r="D53" s="1"/>
      <c r="E53" s="1"/>
      <c r="F53" s="1"/>
      <c r="G53" s="1"/>
      <c r="H53" s="1"/>
      <c r="I53" s="1"/>
      <c r="J53" s="1"/>
      <c r="K53" s="1"/>
      <c r="L53" s="30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45">
        <v>53.0</v>
      </c>
      <c r="B54" s="36">
        <f t="shared" si="5"/>
        <v>0</v>
      </c>
      <c r="C54" s="1"/>
      <c r="D54" s="1"/>
      <c r="E54" s="1"/>
      <c r="F54" s="1"/>
      <c r="G54" s="22"/>
      <c r="H54" s="1"/>
      <c r="I54" s="1"/>
      <c r="J54" s="1"/>
      <c r="K54" s="1"/>
      <c r="L54" s="4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45">
        <v>54.0</v>
      </c>
      <c r="B55" s="36">
        <f t="shared" si="5"/>
        <v>0</v>
      </c>
      <c r="C55" s="1"/>
      <c r="D55" s="1"/>
      <c r="E55" s="1"/>
      <c r="F55" s="1"/>
      <c r="G55" s="22"/>
      <c r="H55" s="1"/>
      <c r="I55" s="1"/>
      <c r="J55" s="1"/>
      <c r="K55" s="1"/>
      <c r="L55" s="4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45">
        <v>55.0</v>
      </c>
      <c r="B56" s="36">
        <f t="shared" si="5"/>
        <v>0</v>
      </c>
      <c r="C56" s="1"/>
      <c r="D56" s="1"/>
      <c r="E56" s="1"/>
      <c r="F56" s="1"/>
      <c r="G56" s="22"/>
      <c r="H56" s="1"/>
      <c r="I56" s="1"/>
      <c r="J56" s="1"/>
      <c r="K56" s="1"/>
      <c r="L56" s="4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45">
        <v>56.0</v>
      </c>
      <c r="B57" s="36">
        <f t="shared" si="5"/>
        <v>0</v>
      </c>
      <c r="C57" s="1"/>
      <c r="D57" s="1"/>
      <c r="E57" s="1"/>
      <c r="F57" s="22"/>
      <c r="G57" s="1"/>
      <c r="H57" s="1"/>
      <c r="I57" s="1"/>
      <c r="J57" s="1"/>
      <c r="K57" s="1"/>
      <c r="L57" s="46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45">
        <v>57.0</v>
      </c>
      <c r="B58" s="36">
        <f t="shared" si="5"/>
        <v>0</v>
      </c>
      <c r="C58" s="1"/>
      <c r="D58" s="1"/>
      <c r="E58" s="1"/>
      <c r="F58" s="22"/>
      <c r="G58" s="22"/>
      <c r="H58" s="1"/>
      <c r="I58" s="1"/>
      <c r="J58" s="1"/>
      <c r="K58" s="1"/>
      <c r="L58" s="4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45">
        <v>58.0</v>
      </c>
      <c r="B59" s="36">
        <f t="shared" si="5"/>
        <v>0</v>
      </c>
      <c r="C59" s="1"/>
      <c r="D59" s="1"/>
      <c r="E59" s="1"/>
      <c r="F59" s="1"/>
      <c r="G59" s="22"/>
      <c r="H59" s="1"/>
      <c r="I59" s="1"/>
      <c r="J59" s="1"/>
      <c r="K59" s="1"/>
      <c r="L59" s="4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45">
        <v>59.0</v>
      </c>
      <c r="B60" s="36">
        <f t="shared" si="5"/>
        <v>0</v>
      </c>
      <c r="C60" s="1"/>
      <c r="D60" s="1"/>
      <c r="E60" s="1"/>
      <c r="F60" s="1"/>
      <c r="G60" s="1"/>
      <c r="H60" s="1"/>
      <c r="I60" s="1"/>
      <c r="J60" s="1"/>
      <c r="K60" s="22"/>
      <c r="L60" s="4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45">
        <v>60.0</v>
      </c>
      <c r="B61" s="36">
        <f t="shared" si="5"/>
        <v>0</v>
      </c>
      <c r="C61" s="1"/>
      <c r="D61" s="1"/>
      <c r="E61" s="1"/>
      <c r="F61" s="1"/>
      <c r="G61" s="22"/>
      <c r="H61" s="1"/>
      <c r="I61" s="1"/>
      <c r="J61" s="1"/>
      <c r="K61" s="1"/>
      <c r="L61" s="4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45">
        <v>61.0</v>
      </c>
      <c r="B62" s="36">
        <f t="shared" si="5"/>
        <v>0</v>
      </c>
      <c r="C62" s="1"/>
      <c r="D62" s="1"/>
      <c r="E62" s="1"/>
      <c r="F62" s="1"/>
      <c r="G62" s="22"/>
      <c r="H62" s="1"/>
      <c r="I62" s="1"/>
      <c r="J62" s="1"/>
      <c r="K62" s="1"/>
      <c r="L62" s="4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45">
        <v>62.0</v>
      </c>
      <c r="B63" s="36">
        <f t="shared" si="5"/>
        <v>0</v>
      </c>
      <c r="C63" s="1"/>
      <c r="D63" s="1"/>
      <c r="E63" s="1"/>
      <c r="F63" s="1"/>
      <c r="G63" s="22"/>
      <c r="H63" s="1"/>
      <c r="I63" s="1"/>
      <c r="J63" s="1"/>
      <c r="K63" s="1"/>
      <c r="L63" s="4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45">
        <v>63.0</v>
      </c>
      <c r="B64" s="36">
        <f t="shared" si="5"/>
        <v>0</v>
      </c>
      <c r="C64" s="1"/>
      <c r="D64" s="1"/>
      <c r="E64" s="1"/>
      <c r="F64" s="1"/>
      <c r="G64" s="22"/>
      <c r="H64" s="1"/>
      <c r="I64" s="1"/>
      <c r="J64" s="1"/>
      <c r="K64" s="1"/>
      <c r="L64" s="4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45">
        <v>64.0</v>
      </c>
      <c r="B65" s="36">
        <f t="shared" si="5"/>
        <v>0</v>
      </c>
      <c r="C65" s="1"/>
      <c r="D65" s="1"/>
      <c r="E65" s="1"/>
      <c r="F65" s="1"/>
      <c r="G65" s="22"/>
      <c r="H65" s="1"/>
      <c r="I65" s="1"/>
      <c r="J65" s="1"/>
      <c r="K65" s="1"/>
      <c r="L65" s="4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45">
        <v>65.0</v>
      </c>
      <c r="B66" s="36">
        <f t="shared" si="5"/>
        <v>0</v>
      </c>
      <c r="C66" s="1"/>
      <c r="D66" s="1"/>
      <c r="E66" s="1"/>
      <c r="F66" s="1"/>
      <c r="G66" s="1"/>
      <c r="H66" s="1"/>
      <c r="I66" s="1"/>
      <c r="J66" s="1"/>
      <c r="K66" s="22"/>
      <c r="L66" s="4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45">
        <v>66.0</v>
      </c>
      <c r="B67" s="36">
        <f t="shared" si="5"/>
        <v>0</v>
      </c>
      <c r="C67" s="1"/>
      <c r="D67" s="1"/>
      <c r="E67" s="1"/>
      <c r="F67" s="1"/>
      <c r="G67" s="1"/>
      <c r="H67" s="1"/>
      <c r="I67" s="1"/>
      <c r="J67" s="22"/>
      <c r="K67" s="1"/>
      <c r="L67" s="4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45">
        <v>67.0</v>
      </c>
      <c r="B68" s="36">
        <f t="shared" si="5"/>
        <v>0</v>
      </c>
      <c r="C68" s="1"/>
      <c r="D68" s="1"/>
      <c r="E68" s="1"/>
      <c r="F68" s="1"/>
      <c r="G68" s="1"/>
      <c r="H68" s="1"/>
      <c r="I68" s="1"/>
      <c r="J68" s="22"/>
      <c r="K68" s="1"/>
      <c r="L68" s="46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45">
        <v>68.0</v>
      </c>
      <c r="B69" s="36">
        <f t="shared" si="5"/>
        <v>0</v>
      </c>
      <c r="C69" s="1"/>
      <c r="D69" s="1"/>
      <c r="E69" s="1"/>
      <c r="F69" s="1"/>
      <c r="G69" s="1"/>
      <c r="H69" s="1"/>
      <c r="I69" s="1"/>
      <c r="J69" s="22"/>
      <c r="K69" s="1"/>
      <c r="L69" s="46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45">
        <v>69.0</v>
      </c>
      <c r="B70" s="36">
        <f t="shared" si="5"/>
        <v>0</v>
      </c>
      <c r="C70" s="1"/>
      <c r="D70" s="1"/>
      <c r="E70" s="1"/>
      <c r="F70" s="1"/>
      <c r="G70" s="1"/>
      <c r="H70" s="1"/>
      <c r="I70" s="1"/>
      <c r="J70" s="1"/>
      <c r="K70" s="1"/>
      <c r="L70" s="4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45">
        <v>70.0</v>
      </c>
      <c r="B71" s="36">
        <f t="shared" si="5"/>
        <v>15</v>
      </c>
      <c r="C71" s="1"/>
      <c r="D71" s="1"/>
      <c r="E71" s="1"/>
      <c r="F71" s="1"/>
      <c r="G71" s="1"/>
      <c r="H71" s="1"/>
      <c r="I71" s="1"/>
      <c r="J71" s="1"/>
      <c r="K71" s="1"/>
      <c r="L71" s="46"/>
      <c r="M71" s="22">
        <v>15.0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45">
        <v>71.0</v>
      </c>
      <c r="B72" s="36">
        <f t="shared" si="5"/>
        <v>0</v>
      </c>
      <c r="C72" s="1"/>
      <c r="D72" s="1"/>
      <c r="E72" s="1"/>
      <c r="F72" s="1"/>
      <c r="G72" s="1"/>
      <c r="H72" s="1"/>
      <c r="I72" s="22"/>
      <c r="J72" s="1"/>
      <c r="K72" s="1"/>
      <c r="L72" s="46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45">
        <v>72.0</v>
      </c>
      <c r="B73" s="36">
        <f t="shared" si="5"/>
        <v>0</v>
      </c>
      <c r="C73" s="1"/>
      <c r="D73" s="1"/>
      <c r="E73" s="1"/>
      <c r="F73" s="1"/>
      <c r="G73" s="1"/>
      <c r="H73" s="1"/>
      <c r="I73" s="22"/>
      <c r="J73" s="1"/>
      <c r="K73" s="1"/>
      <c r="L73" s="4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45">
        <v>73.0</v>
      </c>
      <c r="B74" s="36">
        <f t="shared" si="5"/>
        <v>10</v>
      </c>
      <c r="C74" s="1"/>
      <c r="D74" s="1"/>
      <c r="E74" s="1"/>
      <c r="F74" s="1"/>
      <c r="G74" s="1"/>
      <c r="H74" s="1"/>
      <c r="I74" s="1"/>
      <c r="J74" s="1"/>
      <c r="K74" s="1"/>
      <c r="L74" s="46"/>
      <c r="M74" s="22">
        <v>10.0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45">
        <v>74.0</v>
      </c>
      <c r="B75" s="36">
        <f t="shared" si="5"/>
        <v>0</v>
      </c>
      <c r="C75" s="1"/>
      <c r="D75" s="1"/>
      <c r="E75" s="1"/>
      <c r="F75" s="1"/>
      <c r="G75" s="1"/>
      <c r="H75" s="1"/>
      <c r="I75" s="1"/>
      <c r="J75" s="1"/>
      <c r="K75" s="22"/>
      <c r="L75" s="46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45">
        <v>75.0</v>
      </c>
      <c r="B76" s="36">
        <f t="shared" si="5"/>
        <v>0</v>
      </c>
      <c r="C76" s="1"/>
      <c r="D76" s="1"/>
      <c r="E76" s="1"/>
      <c r="F76" s="1"/>
      <c r="G76" s="22"/>
      <c r="H76" s="1"/>
      <c r="I76" s="1"/>
      <c r="J76" s="1"/>
      <c r="K76" s="22"/>
      <c r="L76" s="46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45">
        <v>76.0</v>
      </c>
      <c r="B77" s="36">
        <f t="shared" si="5"/>
        <v>0</v>
      </c>
      <c r="C77" s="1"/>
      <c r="D77" s="1"/>
      <c r="E77" s="1"/>
      <c r="F77" s="1"/>
      <c r="G77" s="1"/>
      <c r="H77" s="1"/>
      <c r="I77" s="1"/>
      <c r="J77" s="1"/>
      <c r="K77" s="22"/>
      <c r="L77" s="46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45">
        <v>77.0</v>
      </c>
      <c r="B78" s="36">
        <f t="shared" si="5"/>
        <v>55</v>
      </c>
      <c r="C78" s="1"/>
      <c r="D78" s="1"/>
      <c r="E78" s="1"/>
      <c r="F78" s="1"/>
      <c r="G78" s="1"/>
      <c r="H78" s="1"/>
      <c r="I78" s="1"/>
      <c r="J78" s="1"/>
      <c r="K78" s="1"/>
      <c r="L78" s="46"/>
      <c r="M78" s="22">
        <v>55.0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45">
        <v>78.0</v>
      </c>
      <c r="B79" s="36">
        <f t="shared" si="5"/>
        <v>25</v>
      </c>
      <c r="C79" s="1"/>
      <c r="D79" s="1"/>
      <c r="E79" s="1"/>
      <c r="F79" s="1"/>
      <c r="G79" s="1"/>
      <c r="H79" s="1"/>
      <c r="I79" s="1"/>
      <c r="J79" s="1"/>
      <c r="K79" s="1"/>
      <c r="L79" s="46"/>
      <c r="M79" s="22">
        <v>25.0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45">
        <v>79.0</v>
      </c>
      <c r="B80" s="36">
        <f t="shared" si="5"/>
        <v>30</v>
      </c>
      <c r="C80" s="1"/>
      <c r="D80" s="1"/>
      <c r="E80" s="1"/>
      <c r="F80" s="1"/>
      <c r="G80" s="1"/>
      <c r="H80" s="1"/>
      <c r="I80" s="1"/>
      <c r="J80" s="1"/>
      <c r="K80" s="1"/>
      <c r="L80" s="46"/>
      <c r="M80" s="22">
        <v>30.0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45">
        <v>80.0</v>
      </c>
      <c r="B81" s="36">
        <f t="shared" si="5"/>
        <v>0</v>
      </c>
      <c r="C81" s="1"/>
      <c r="D81" s="1"/>
      <c r="E81" s="1"/>
      <c r="F81" s="1"/>
      <c r="G81" s="1"/>
      <c r="H81" s="1"/>
      <c r="I81" s="1"/>
      <c r="J81" s="1"/>
      <c r="K81" s="22"/>
      <c r="L81" s="4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45">
        <v>81.0</v>
      </c>
      <c r="B82" s="36">
        <f t="shared" si="5"/>
        <v>0</v>
      </c>
      <c r="C82" s="1"/>
      <c r="D82" s="1"/>
      <c r="E82" s="1"/>
      <c r="F82" s="1"/>
      <c r="G82" s="1"/>
      <c r="H82" s="1"/>
      <c r="I82" s="1"/>
      <c r="J82" s="1"/>
      <c r="K82" s="22"/>
      <c r="L82" s="46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45">
        <v>82.0</v>
      </c>
      <c r="B83" s="36">
        <f t="shared" si="5"/>
        <v>0</v>
      </c>
      <c r="C83" s="1"/>
      <c r="D83" s="1"/>
      <c r="E83" s="1"/>
      <c r="F83" s="1"/>
      <c r="G83" s="22"/>
      <c r="H83" s="1"/>
      <c r="I83" s="1"/>
      <c r="J83" s="1"/>
      <c r="K83" s="22"/>
      <c r="L83" s="4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45">
        <v>83.0</v>
      </c>
      <c r="B84" s="36">
        <f t="shared" si="5"/>
        <v>0</v>
      </c>
      <c r="C84" s="1"/>
      <c r="D84" s="1"/>
      <c r="E84" s="1"/>
      <c r="F84" s="1"/>
      <c r="G84" s="1"/>
      <c r="H84" s="1"/>
      <c r="I84" s="1"/>
      <c r="J84" s="1"/>
      <c r="K84" s="22"/>
      <c r="L84" s="46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45">
        <v>84.0</v>
      </c>
      <c r="B85" s="36">
        <f t="shared" si="5"/>
        <v>0</v>
      </c>
      <c r="C85" s="22"/>
      <c r="D85" s="1"/>
      <c r="E85" s="1"/>
      <c r="F85" s="1"/>
      <c r="G85" s="1"/>
      <c r="H85" s="1"/>
      <c r="I85" s="1"/>
      <c r="J85" s="1"/>
      <c r="K85" s="1"/>
      <c r="L85" s="4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45">
        <v>85.0</v>
      </c>
      <c r="B86" s="36">
        <f t="shared" si="5"/>
        <v>0</v>
      </c>
      <c r="C86" s="22"/>
      <c r="D86" s="1"/>
      <c r="E86" s="1"/>
      <c r="F86" s="1"/>
      <c r="G86" s="1"/>
      <c r="H86" s="1"/>
      <c r="I86" s="1"/>
      <c r="J86" s="1"/>
      <c r="K86" s="1"/>
      <c r="L86" s="4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45">
        <v>86.0</v>
      </c>
      <c r="B87" s="36">
        <f t="shared" si="5"/>
        <v>0</v>
      </c>
      <c r="C87" s="22"/>
      <c r="D87" s="1"/>
      <c r="E87" s="1"/>
      <c r="F87" s="1"/>
      <c r="G87" s="1"/>
      <c r="H87" s="1"/>
      <c r="I87" s="1"/>
      <c r="J87" s="1"/>
      <c r="K87" s="1"/>
      <c r="L87" s="4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45">
        <v>87.0</v>
      </c>
      <c r="B88" s="36">
        <f t="shared" si="5"/>
        <v>0</v>
      </c>
      <c r="C88" s="22"/>
      <c r="D88" s="1"/>
      <c r="E88" s="1"/>
      <c r="F88" s="1"/>
      <c r="G88" s="1"/>
      <c r="H88" s="1"/>
      <c r="I88" s="1"/>
      <c r="J88" s="1"/>
      <c r="K88" s="1"/>
      <c r="L88" s="46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45">
        <v>88.0</v>
      </c>
      <c r="B89" s="36">
        <f t="shared" si="5"/>
        <v>0</v>
      </c>
      <c r="C89" s="1"/>
      <c r="D89" s="1"/>
      <c r="E89" s="1"/>
      <c r="F89" s="1"/>
      <c r="G89" s="1"/>
      <c r="H89" s="1"/>
      <c r="I89" s="1"/>
      <c r="J89" s="1"/>
      <c r="K89" s="1"/>
      <c r="L89" s="30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45">
        <v>89.0</v>
      </c>
      <c r="B90" s="36">
        <f t="shared" si="5"/>
        <v>25</v>
      </c>
      <c r="C90" s="1"/>
      <c r="D90" s="1"/>
      <c r="E90" s="1"/>
      <c r="F90" s="1"/>
      <c r="G90" s="1"/>
      <c r="H90" s="1"/>
      <c r="I90" s="1"/>
      <c r="J90" s="1"/>
      <c r="K90" s="1"/>
      <c r="L90" s="46"/>
      <c r="M90" s="22">
        <v>25.0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45">
        <v>90.0</v>
      </c>
      <c r="B91" s="36">
        <f t="shared" si="5"/>
        <v>25</v>
      </c>
      <c r="C91" s="1"/>
      <c r="D91" s="1"/>
      <c r="E91" s="1"/>
      <c r="F91" s="1"/>
      <c r="G91" s="1"/>
      <c r="H91" s="1"/>
      <c r="I91" s="1"/>
      <c r="J91" s="1"/>
      <c r="K91" s="1"/>
      <c r="L91" s="46"/>
      <c r="M91" s="22">
        <v>25.0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45">
        <v>91.0</v>
      </c>
      <c r="B92" s="36">
        <f t="shared" si="5"/>
        <v>0</v>
      </c>
      <c r="C92" s="1"/>
      <c r="D92" s="1"/>
      <c r="E92" s="1"/>
      <c r="F92" s="1"/>
      <c r="G92" s="1"/>
      <c r="H92" s="1"/>
      <c r="I92" s="1"/>
      <c r="J92" s="1"/>
      <c r="K92" s="1"/>
      <c r="L92" s="4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45">
        <v>92.0</v>
      </c>
      <c r="B93" s="36">
        <f t="shared" si="5"/>
        <v>0</v>
      </c>
      <c r="C93" s="1"/>
      <c r="D93" s="1"/>
      <c r="E93" s="1"/>
      <c r="F93" s="1"/>
      <c r="G93" s="1"/>
      <c r="H93" s="1"/>
      <c r="I93" s="1"/>
      <c r="J93" s="1"/>
      <c r="K93" s="1"/>
      <c r="L93" s="30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45">
        <v>93.0</v>
      </c>
      <c r="B94" s="36">
        <f t="shared" si="5"/>
        <v>50</v>
      </c>
      <c r="C94" s="1"/>
      <c r="D94" s="1"/>
      <c r="E94" s="1"/>
      <c r="F94" s="1"/>
      <c r="G94" s="1"/>
      <c r="H94" s="1"/>
      <c r="I94" s="1"/>
      <c r="J94" s="1"/>
      <c r="K94" s="1"/>
      <c r="L94" s="46"/>
      <c r="M94" s="22">
        <v>50.0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45">
        <v>94.0</v>
      </c>
      <c r="B95" s="36">
        <f t="shared" si="5"/>
        <v>0</v>
      </c>
      <c r="C95" s="1"/>
      <c r="D95" s="1"/>
      <c r="E95" s="1"/>
      <c r="F95" s="1"/>
      <c r="G95" s="1"/>
      <c r="H95" s="1"/>
      <c r="I95" s="1"/>
      <c r="J95" s="22"/>
      <c r="K95" s="1"/>
      <c r="L95" s="4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45">
        <v>95.0</v>
      </c>
      <c r="B96" s="36">
        <f t="shared" si="5"/>
        <v>0</v>
      </c>
      <c r="C96" s="1"/>
      <c r="D96" s="1"/>
      <c r="E96" s="1"/>
      <c r="F96" s="1"/>
      <c r="G96" s="1"/>
      <c r="H96" s="1"/>
      <c r="I96" s="1"/>
      <c r="J96" s="22"/>
      <c r="K96" s="1"/>
      <c r="L96" s="46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45">
        <v>96.0</v>
      </c>
      <c r="B97" s="36">
        <f t="shared" si="5"/>
        <v>0</v>
      </c>
      <c r="C97" s="1"/>
      <c r="D97" s="1"/>
      <c r="E97" s="1"/>
      <c r="F97" s="1"/>
      <c r="G97" s="1"/>
      <c r="H97" s="1"/>
      <c r="I97" s="1"/>
      <c r="J97" s="22"/>
      <c r="K97" s="1"/>
      <c r="L97" s="46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45">
        <v>97.0</v>
      </c>
      <c r="B98" s="36">
        <f t="shared" si="5"/>
        <v>0</v>
      </c>
      <c r="C98" s="1"/>
      <c r="D98" s="1"/>
      <c r="E98" s="1"/>
      <c r="F98" s="1"/>
      <c r="G98" s="22"/>
      <c r="H98" s="1"/>
      <c r="I98" s="1"/>
      <c r="J98" s="1"/>
      <c r="K98" s="1"/>
      <c r="L98" s="4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45">
        <v>98.0</v>
      </c>
      <c r="B99" s="36">
        <f t="shared" si="5"/>
        <v>0</v>
      </c>
      <c r="C99" s="1"/>
      <c r="D99" s="1"/>
      <c r="E99" s="1"/>
      <c r="F99" s="1"/>
      <c r="G99" s="22"/>
      <c r="H99" s="1"/>
      <c r="I99" s="1"/>
      <c r="J99" s="1"/>
      <c r="K99" s="1"/>
      <c r="L99" s="4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45">
        <v>99.0</v>
      </c>
      <c r="B100" s="36">
        <f t="shared" si="5"/>
        <v>0</v>
      </c>
      <c r="C100" s="1"/>
      <c r="D100" s="1"/>
      <c r="E100" s="1"/>
      <c r="F100" s="1"/>
      <c r="G100" s="22"/>
      <c r="H100" s="1"/>
      <c r="I100" s="1"/>
      <c r="J100" s="1"/>
      <c r="K100" s="1"/>
      <c r="L100" s="46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45">
        <v>100.0</v>
      </c>
      <c r="B101" s="36">
        <f t="shared" si="5"/>
        <v>0</v>
      </c>
      <c r="C101" s="1"/>
      <c r="D101" s="1"/>
      <c r="E101" s="1"/>
      <c r="F101" s="1"/>
      <c r="G101" s="1"/>
      <c r="H101" s="1"/>
      <c r="I101" s="1"/>
      <c r="J101" s="22"/>
      <c r="K101" s="1"/>
      <c r="L101" s="4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4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4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4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4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46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46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46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46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46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46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46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46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46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46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46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4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46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46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4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46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46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46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46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46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46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46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46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46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46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46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46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46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46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46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46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46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46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46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46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46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46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46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46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46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46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46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46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46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46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46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46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46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46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46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6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6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46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46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46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46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46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46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46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46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46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46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46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46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46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46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46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46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46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46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46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46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46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46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46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46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46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46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46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46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46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46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46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46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46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46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46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46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46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46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46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46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46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46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46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46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46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46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46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46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46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46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46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46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46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46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46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46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46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46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46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46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46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46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46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46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46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46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46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46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46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46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46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46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46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46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46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46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46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46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46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46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46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46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46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46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46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46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46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46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46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46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46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46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46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46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46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46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46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46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46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46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46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46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46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46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46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46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46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46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46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46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46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46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46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46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46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46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46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46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46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46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46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46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46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46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46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46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46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46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46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46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46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46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46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46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46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46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46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46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46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46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46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46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46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46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46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46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46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46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46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46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46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46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46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46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46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46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46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46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46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46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46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46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46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46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46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46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46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46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46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46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46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46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46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46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46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46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46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46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46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46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46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46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46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46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46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46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46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46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46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46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46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46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46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46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46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46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46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46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46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46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46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46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46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46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46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46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46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46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46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46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46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46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46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46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46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46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46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46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46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46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46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46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46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46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46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46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46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46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46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46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46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46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46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46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46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46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46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46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46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46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46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46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46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46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46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46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46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46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46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46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46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46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46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46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46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46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46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46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46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46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46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46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46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46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46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46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46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46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46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46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46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46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46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46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46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46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46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46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46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46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46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46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46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46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46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46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46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46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46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46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46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46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46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46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46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46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46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46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46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46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46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46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46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46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46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46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46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46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46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46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46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46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46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46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46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46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46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46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46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46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46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46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46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46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46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46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46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46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46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46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46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46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46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46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46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46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46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46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46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46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46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46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46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46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46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46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46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46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46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46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46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46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46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46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46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46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46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46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46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46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46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46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46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46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46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46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46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46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46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46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46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46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46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46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46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46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46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46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46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46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46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46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46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46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46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46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46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46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46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46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46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46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46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46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46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46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46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46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46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46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46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46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46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46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46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46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46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46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46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46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46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46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46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46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46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46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46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46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46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46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46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46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46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46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46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46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46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46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46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46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46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46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46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46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46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46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46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46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46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46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46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46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46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46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46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46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46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46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46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46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46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46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46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46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46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46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46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46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46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46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46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46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46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46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46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46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46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46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46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46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46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46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46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46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46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46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46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46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46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46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46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46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46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46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46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46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46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46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46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46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46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46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46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46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46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46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46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46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46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46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46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46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46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46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46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46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46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46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46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46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46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46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46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46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46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46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46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46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46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46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46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46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46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46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46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46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46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46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46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46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46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46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46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46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46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46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46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46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46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46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46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46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46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46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46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46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46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46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46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46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46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46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46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46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46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46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46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46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46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46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46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46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46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46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46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46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46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46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46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46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46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46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46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46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46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46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46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46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46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46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46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46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46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46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46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46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46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46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46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46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46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46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46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46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46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46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46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46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46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46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46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46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46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46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46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46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46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46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46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46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46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46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46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46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46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46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46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46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46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46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46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46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46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46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46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46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46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46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46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46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46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46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46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46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46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46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46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46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46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46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46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46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46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46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46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46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46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46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46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46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46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46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46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46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46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46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46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46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46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46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46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46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46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46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46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46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46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46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46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46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46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46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46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46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46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46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46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46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46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46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46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46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46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46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46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46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46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46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46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46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46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46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46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46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46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46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46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46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46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46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46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46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46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46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46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46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46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46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46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46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46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46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46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46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46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46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46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46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46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46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46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46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46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46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46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46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46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46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46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46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46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46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46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46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46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46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46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46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46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46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46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46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46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46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46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46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46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46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46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46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46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46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46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46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46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46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46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46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46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46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46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46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46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46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46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46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46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46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46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46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46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46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46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46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46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46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46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46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46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46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46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46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46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46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46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46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46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46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46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46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46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46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</sheetData>
  <drawing r:id="rId1"/>
</worksheet>
</file>